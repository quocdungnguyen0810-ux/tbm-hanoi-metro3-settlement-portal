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Dia_Tang_BH12" sheetId="2" state="visible" r:id="rId2"/>
    <sheet xmlns:r="http://schemas.openxmlformats.org/officeDocument/2006/relationships" name="Mat_Cat_S9_S10" sheetId="3" state="visible" r:id="rId3"/>
    <sheet xmlns:r="http://schemas.openxmlformats.org/officeDocument/2006/relationships" name="Thong_So_Co_Ly_Tong_Hop" sheetId="4" state="visible" r:id="rId4"/>
    <sheet xmlns:r="http://schemas.openxmlformats.org/officeDocument/2006/relationships" name="Audit_Nhat_Ky_Kiem_Din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4A607A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B71C1C"/>
      <sz val="10"/>
    </font>
    <font>
      <name val="Calibri"/>
      <color rgb="000D47A1"/>
      <sz val="10"/>
    </font>
  </fonts>
  <fills count="5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FF9C4"/>
        <bgColor rgb="00FFF9C4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FFFFFF"/>
      </left>
      <right style="thin">
        <color rgb="00FFFFFF"/>
      </right>
      <top style="medium">
        <color rgb="001B365D"/>
      </top>
      <bottom style="medium">
        <color rgb="001B365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pivotButton="0" quotePrefix="0" xfId="0"/>
    <xf numFmtId="2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4" fillId="4" borderId="1" pivotButton="0" quotePrefix="0" xfId="0"/>
    <xf numFmtId="2" fontId="4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55" customWidth="1" min="3" max="3"/>
  </cols>
  <sheetData>
    <row r="1"/>
    <row r="2">
      <c r="B2" s="1" t="inlineStr">
        <is>
          <t>BỘ CƠ SỞ DỮ LIỆU ĐỊA KỸ THUẬT TUYẾN METRO SỐ 3 HÀ NỘI (ĐOẠN S9–S12)</t>
        </is>
      </c>
    </row>
    <row r="3">
      <c r="B3" s="2" t="inlineStr">
        <is>
          <t>Dự án: Đánh giá độ nhạy và dự báo vùng ảnh hưởng lún do thi công TBM - Metro Hà Nội</t>
        </is>
      </c>
    </row>
    <row r="4"/>
    <row r="5">
      <c r="B5" s="3" t="inlineStr">
        <is>
          <t>Mã dự án</t>
        </is>
      </c>
      <c r="C5" s="4" t="inlineStr">
        <is>
          <t>TBM_HANOI_EIA_SETTLEMENT_2027</t>
        </is>
      </c>
    </row>
    <row r="6">
      <c r="B6" s="3" t="inlineStr">
        <is>
          <t>Đối tượng nghiên cứu</t>
        </is>
      </c>
      <c r="C6" s="4" t="inlineStr">
        <is>
          <t>Đoạn hầm ngầm đôi S9 (Kim Mã) - S10 (Cát Linh) - S11 (Văn Miếu) - S12 (Ga Hà Nội)</t>
        </is>
      </c>
    </row>
    <row r="7">
      <c r="B7" s="3" t="inlineStr">
        <is>
          <t>Hệ quy chiếu tọa độ</t>
        </is>
      </c>
      <c r="C7" s="4" t="inlineStr">
        <is>
          <t>VN-2000 / UTM Zone 48N (Kinh tuyến trục 105°, vĩ độ gốc 0°); EPSG: 3405 / EPSG: 4326</t>
        </is>
      </c>
    </row>
    <row r="8">
      <c r="B8" s="3" t="inlineStr">
        <is>
          <t>Tiêu chuẩn đối chiếu</t>
        </is>
      </c>
      <c r="C8" s="4" t="inlineStr">
        <is>
          <t>TCVN 9351:2012 (Khảo sát địa kỹ thuật), ASTM D1586 (SPT), Eurocode 7</t>
        </is>
      </c>
    </row>
    <row r="9">
      <c r="B9" s="3" t="inlineStr">
        <is>
          <t>Nguồn tài liệu gốc</t>
        </is>
      </c>
      <c r="C9" s="4" t="inlineStr">
        <is>
          <t>Nguyen et al. (2024) [ETASR], Nguyen, Kohata &amp; Nguyen (2024) [TCXD], Giao et al. (2020) [Springer LNCE 62]</t>
        </is>
      </c>
    </row>
    <row r="10">
      <c r="B10" s="3" t="inlineStr">
        <is>
          <t>Đơn vị nội bộ</t>
        </is>
      </c>
      <c r="C10" s="4" t="inlineStr">
        <is>
          <t>Hệ SI chuẩn: Chiều dài (m), Ứng suất/Mô đun (kPa, MPa), Trọng lượng thể tích (kN/m³)</t>
        </is>
      </c>
    </row>
    <row r="11">
      <c r="B11" s="3" t="inlineStr">
        <is>
          <t>Quy ước dấu độ lún</t>
        </is>
      </c>
      <c r="C11" s="4" t="inlineStr">
        <is>
          <t>Độ lún bề mặt S(x) dương biểu thị sự chuyển dịch thẳng đứng đi xuống (Settlement &gt; 0)</t>
        </is>
      </c>
    </row>
    <row r="12">
      <c r="B12" s="3" t="inlineStr">
        <is>
          <t>Ngày lập dữ liệu</t>
        </is>
      </c>
      <c r="C12" s="4" t="inlineStr">
        <is>
          <t>2026-10-14</t>
        </is>
      </c>
    </row>
    <row r="13">
      <c r="B13" s="3" t="inlineStr">
        <is>
          <t>Trạng thái kiểm định</t>
        </is>
      </c>
      <c r="C13" s="4" t="inlineStr">
        <is>
          <t>Gate 1 - Gate 3 PASSED (Baseline Frozen)</t>
        </is>
      </c>
    </row>
    <row r="14">
      <c r="B14" s="3" t="inlineStr">
        <is>
          <t>Ghi chú Audit</t>
        </is>
      </c>
      <c r="C14" s="4" t="inlineStr">
        <is>
          <t>Các tham số giả định mô hình được bôi vàng (Audit pending) cần hiệu chỉnh khi có số liệu quan trắc hiện trường thực tế.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49" customWidth="1" min="3" max="3"/>
    <col width="15" customWidth="1" min="4" max="4"/>
    <col width="17" customWidth="1" min="5" max="5"/>
    <col width="17" customWidth="1" min="6" max="6"/>
    <col width="16" customWidth="1" min="7" max="7"/>
    <col width="19" customWidth="1" min="8" max="8"/>
    <col width="12" customWidth="1" min="9" max="9"/>
    <col width="17" customWidth="1" min="10" max="10"/>
    <col width="18" customWidth="1" min="11" max="11"/>
    <col width="20" customWidth="1" min="12" max="12"/>
    <col width="20" customWidth="1" min="13" max="13"/>
    <col width="21" customWidth="1" min="14" max="14"/>
    <col width="19" customWidth="1" min="15" max="15"/>
    <col width="55" customWidth="1" min="16" max="16"/>
  </cols>
  <sheetData>
    <row r="1"/>
    <row r="2">
      <c r="B2" s="1" t="inlineStr">
        <is>
          <t>ĐẶC TRƯNG ĐỊA TẦNG VÀ THAM SỐ CƠ LÝ HỐ KHOAN BH12 (ĐOẠN S11–S12)</t>
        </is>
      </c>
    </row>
    <row r="3">
      <c r="B3" s="2" t="inlineStr">
        <is>
          <t>Nguồn: Nguyen, Kohata &amp; Nguyen (2024), Tạp chí Xây dựng số 06/2024, Bảng 2 tr. 86</t>
        </is>
      </c>
    </row>
    <row r="4"/>
    <row r="5">
      <c r="B5" s="5" t="inlineStr">
        <is>
          <t>STT Lớp</t>
        </is>
      </c>
      <c r="C5" s="5" t="inlineStr">
        <is>
          <t>Tên phân tầng địa chất</t>
        </is>
      </c>
      <c r="D5" s="5" t="inlineStr">
        <is>
          <t>Ký hiệu USCS</t>
        </is>
      </c>
      <c r="E5" s="5" t="inlineStr">
        <is>
          <t>Độ sâu nóc (m)</t>
        </is>
      </c>
      <c r="F5" s="5" t="inlineStr">
        <is>
          <t>Độ sâu đáy (m)</t>
        </is>
      </c>
      <c r="G5" s="5" t="inlineStr">
        <is>
          <t>Chiều dày (m)</t>
        </is>
      </c>
      <c r="H5" s="5" t="inlineStr">
        <is>
          <t>Chỉ số SPT (N30)</t>
        </is>
      </c>
      <c r="I5" s="5" t="inlineStr">
        <is>
          <t>γ (kN/m³)</t>
        </is>
      </c>
      <c r="J5" s="5" t="inlineStr">
        <is>
          <t>Mô-đun E (MPa)</t>
        </is>
      </c>
      <c r="K5" s="5" t="inlineStr">
        <is>
          <t>Hệ số Poisson ν</t>
        </is>
      </c>
      <c r="L5" s="5" t="inlineStr">
        <is>
          <t>Lực dính c' (kPa)</t>
        </is>
      </c>
      <c r="M5" s="5" t="inlineStr">
        <is>
          <t>Góc ma sát φ' (°)</t>
        </is>
      </c>
      <c r="N5" s="5" t="inlineStr">
        <is>
          <t>Cấp bằng chứng</t>
        </is>
      </c>
      <c r="O5" s="5" t="inlineStr">
        <is>
          <t>Trạng thái Audit</t>
        </is>
      </c>
      <c r="P5" s="5" t="inlineStr">
        <is>
          <t>Ghi chú kỹ thuật</t>
        </is>
      </c>
    </row>
    <row r="6">
      <c r="B6" s="6" t="n">
        <v>1</v>
      </c>
      <c r="C6" s="7" t="inlineStr">
        <is>
          <t>Đất đắp (Fill)</t>
        </is>
      </c>
      <c r="D6" s="4" t="inlineStr">
        <is>
          <t>ML-CL</t>
        </is>
      </c>
      <c r="E6" s="8" t="n">
        <v>0</v>
      </c>
      <c r="F6" s="8" t="n">
        <v>2</v>
      </c>
      <c r="G6" s="8" t="n">
        <v>2</v>
      </c>
      <c r="H6" s="6" t="n">
        <v>5</v>
      </c>
      <c r="I6" s="9" t="n">
        <v>17.5</v>
      </c>
      <c r="J6" s="8" t="n">
        <v>9.25</v>
      </c>
      <c r="K6" s="8" t="n">
        <v>0.41</v>
      </c>
      <c r="L6" s="8" t="n">
        <v>20</v>
      </c>
      <c r="M6" s="6" t="n">
        <v>30</v>
      </c>
      <c r="N6" s="6" t="inlineStr">
        <is>
          <t>direct_table</t>
        </is>
      </c>
      <c r="O6" s="4" t="inlineStr">
        <is>
          <t>VERIFIED</t>
        </is>
      </c>
      <c r="P6" s="7" t="inlineStr">
        <is>
          <t>Lớp đất bề mặt, biến động theo đường phố hiện hữu</t>
        </is>
      </c>
    </row>
    <row r="7">
      <c r="B7" s="10" t="n">
        <v>2</v>
      </c>
      <c r="C7" s="11" t="inlineStr">
        <is>
          <t>Sét dẻo cứng đến rất cứng (Stiff clay)</t>
        </is>
      </c>
      <c r="D7" s="12" t="inlineStr">
        <is>
          <t>CL-CH</t>
        </is>
      </c>
      <c r="E7" s="13" t="n">
        <v>2</v>
      </c>
      <c r="F7" s="13" t="n">
        <v>12.3</v>
      </c>
      <c r="G7" s="13" t="n">
        <v>10.3</v>
      </c>
      <c r="H7" s="10" t="n">
        <v>16</v>
      </c>
      <c r="I7" s="14" t="n">
        <v>17.6</v>
      </c>
      <c r="J7" s="13" t="n">
        <v>15.3</v>
      </c>
      <c r="K7" s="13" t="n">
        <v>0.38</v>
      </c>
      <c r="L7" s="13" t="n">
        <v>1</v>
      </c>
      <c r="M7" s="10" t="n">
        <v>36</v>
      </c>
      <c r="N7" s="10" t="inlineStr">
        <is>
          <t>derived_cumulative</t>
        </is>
      </c>
      <c r="O7" s="12" t="inlineStr">
        <is>
          <t>VERIFIED</t>
        </is>
      </c>
      <c r="P7" s="11" t="inlineStr">
        <is>
          <t>Ranh dưới cộng dồn (2.0 + 10.3 = 12.3m)</t>
        </is>
      </c>
    </row>
    <row r="8">
      <c r="B8" s="15" t="n">
        <v>3</v>
      </c>
      <c r="C8" s="16" t="inlineStr">
        <is>
          <t>Bùn sét hữu cơ dẻo mềm (Soft clay - Bùn yếu)</t>
        </is>
      </c>
      <c r="D8" s="17" t="inlineStr">
        <is>
          <t>CH-OH</t>
        </is>
      </c>
      <c r="E8" s="18" t="n">
        <v>12.3</v>
      </c>
      <c r="F8" s="18" t="n">
        <v>25</v>
      </c>
      <c r="G8" s="18" t="n">
        <v>12.7</v>
      </c>
      <c r="H8" s="15" t="n">
        <v>3</v>
      </c>
      <c r="I8" s="19" t="n">
        <v>18.1</v>
      </c>
      <c r="J8" s="20" t="n">
        <v>7.68</v>
      </c>
      <c r="K8" s="18" t="n">
        <v>0.35</v>
      </c>
      <c r="L8" s="18" t="n">
        <v>1</v>
      </c>
      <c r="M8" s="15" t="n">
        <v>36</v>
      </c>
      <c r="N8" s="15" t="inlineStr">
        <is>
          <t>direct_table</t>
        </is>
      </c>
      <c r="O8" s="21" t="inlineStr">
        <is>
          <t>AUDIT_HIGHLIGHT</t>
        </is>
      </c>
      <c r="P8" s="22" t="inlineStr">
        <is>
          <t>Tầng đất yếu bao trùm toàn bộ không gian hầm TBM (z0=18m, D=6.3m). E rất thấp (7.68 MPa).</t>
        </is>
      </c>
    </row>
    <row r="9">
      <c r="B9" s="10" t="n">
        <v>4</v>
      </c>
      <c r="C9" s="11" t="inlineStr">
        <is>
          <t>Cát pha bụi chặt vừa (Medium dense silty sand)</t>
        </is>
      </c>
      <c r="D9" s="12" t="inlineStr">
        <is>
          <t>SM-SC</t>
        </is>
      </c>
      <c r="E9" s="13" t="n">
        <v>25</v>
      </c>
      <c r="F9" s="13" t="n">
        <v>36.9</v>
      </c>
      <c r="G9" s="13" t="n">
        <v>11.9</v>
      </c>
      <c r="H9" s="10" t="n">
        <v>24</v>
      </c>
      <c r="I9" s="14" t="n">
        <v>17.8</v>
      </c>
      <c r="J9" s="13" t="n">
        <v>35.02</v>
      </c>
      <c r="K9" s="13" t="n">
        <v>0.33</v>
      </c>
      <c r="L9" s="13" t="n">
        <v>40</v>
      </c>
      <c r="M9" s="10" t="n">
        <v>30</v>
      </c>
      <c r="N9" s="10" t="inlineStr">
        <is>
          <t>derived_cumulative</t>
        </is>
      </c>
      <c r="O9" s="12" t="inlineStr">
        <is>
          <t>VERIFIED</t>
        </is>
      </c>
      <c r="P9" s="11" t="inlineStr">
        <is>
          <t>Nằm dưới đáy hầm</t>
        </is>
      </c>
    </row>
    <row r="10">
      <c r="B10" s="6" t="n">
        <v>5</v>
      </c>
      <c r="C10" s="7" t="inlineStr">
        <is>
          <t>Cát chứa cuội sỏi hạt mịn-thô (Gravelly sand)</t>
        </is>
      </c>
      <c r="D10" s="4" t="inlineStr">
        <is>
          <t>SW-SM</t>
        </is>
      </c>
      <c r="E10" s="8" t="n">
        <v>36.9</v>
      </c>
      <c r="F10" s="8" t="n">
        <v>51.9</v>
      </c>
      <c r="G10" s="8" t="n">
        <v>15</v>
      </c>
      <c r="H10" s="6" t="n">
        <v>38</v>
      </c>
      <c r="I10" s="9" t="n">
        <v>18.3</v>
      </c>
      <c r="J10" s="8" t="n">
        <v>53.9</v>
      </c>
      <c r="K10" s="8" t="n">
        <v>0.32</v>
      </c>
      <c r="L10" s="8" t="n">
        <v>50</v>
      </c>
      <c r="M10" s="6" t="n">
        <v>30</v>
      </c>
      <c r="N10" s="6" t="inlineStr">
        <is>
          <t>derived_cumulative</t>
        </is>
      </c>
      <c r="O10" s="4" t="inlineStr">
        <is>
          <t>VERIFIED</t>
        </is>
      </c>
      <c r="P10" s="7" t="inlineStr">
        <is>
          <t>Tầng chịu lực sâu</t>
        </is>
      </c>
    </row>
    <row r="11">
      <c r="B11" s="10" t="n">
        <v>6</v>
      </c>
      <c r="C11" s="11" t="inlineStr">
        <is>
          <t>Cuội sỏi cấp phối kém chặt khít (Dense gravel)</t>
        </is>
      </c>
      <c r="D11" s="12" t="inlineStr">
        <is>
          <t>GP-GW</t>
        </is>
      </c>
      <c r="E11" s="13" t="n">
        <v>51.9</v>
      </c>
      <c r="F11" s="13" t="n">
        <v>60</v>
      </c>
      <c r="G11" s="13" t="n">
        <v>8.1</v>
      </c>
      <c r="H11" s="10" t="n">
        <v>52</v>
      </c>
      <c r="I11" s="14" t="n">
        <v>18.6</v>
      </c>
      <c r="J11" s="13" t="n">
        <v>65</v>
      </c>
      <c r="K11" s="13" t="n">
        <v>0.3</v>
      </c>
      <c r="L11" s="13" t="n">
        <v>50</v>
      </c>
      <c r="M11" s="10" t="n">
        <v>30</v>
      </c>
      <c r="N11" s="10" t="inlineStr">
        <is>
          <t>derived_cumulative</t>
        </is>
      </c>
      <c r="O11" s="12" t="inlineStr">
        <is>
          <t>VERIFIED</t>
        </is>
      </c>
      <c r="P11" s="11" t="inlineStr">
        <is>
          <t>Tầng cuội sỏi Đệ tứ cổ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17" customWidth="1" min="3" max="3"/>
    <col width="35" customWidth="1" min="4" max="4"/>
    <col width="17" customWidth="1" min="5" max="5"/>
    <col width="19" customWidth="1" min="6" max="6"/>
    <col width="24" customWidth="1" min="7" max="7"/>
    <col width="13" customWidth="1" min="8" max="8"/>
    <col width="12" customWidth="1" min="9" max="9"/>
    <col width="11" customWidth="1" min="10" max="10"/>
    <col width="11" customWidth="1" min="11" max="11"/>
    <col width="15" customWidth="1" min="12" max="12"/>
    <col width="39" customWidth="1" min="13" max="13"/>
    <col width="17" customWidth="1" min="14" max="14"/>
    <col width="19" customWidth="1" min="15" max="15"/>
  </cols>
  <sheetData>
    <row r="1"/>
    <row r="2">
      <c r="B2" s="1" t="inlineStr">
        <is>
          <t>ĐẶC TRƯNG ĐỊA TẦNG ĐẠI DIỆN ĐOẠN S9–S10 (KIM MÃ - CÁT LINH)</t>
        </is>
      </c>
    </row>
    <row r="3">
      <c r="B3" s="2" t="inlineStr">
        <is>
          <t>Nguồn: Nguyen, Bui &amp; Nguyen (2024), ETASR 14(1), Bảng I &amp; Hình 3a tr. 13048–13049</t>
        </is>
      </c>
    </row>
    <row r="4"/>
    <row r="5">
      <c r="B5" s="5" t="inlineStr">
        <is>
          <t>STT Đơn nguyên</t>
        </is>
      </c>
      <c r="C5" s="5" t="inlineStr">
        <is>
          <t>Ký hiệu đơn vị</t>
        </is>
      </c>
      <c r="D5" s="5" t="inlineStr">
        <is>
          <t>Mô tả thạch học đất</t>
        </is>
      </c>
      <c r="E5" s="5" t="inlineStr">
        <is>
          <t>Phân loại USCS</t>
        </is>
      </c>
      <c r="F5" s="5" t="inlineStr">
        <is>
          <t>Chiều dày TB (m)</t>
        </is>
      </c>
      <c r="G5" s="5" t="inlineStr">
        <is>
          <t>Khoảng biến thiên (m)</t>
        </is>
      </c>
      <c r="H5" s="5" t="inlineStr">
        <is>
          <t>SPT N30 TB</t>
        </is>
      </c>
      <c r="I5" s="5" t="inlineStr">
        <is>
          <t>γ (kN/m³)</t>
        </is>
      </c>
      <c r="J5" s="5" t="inlineStr">
        <is>
          <t>c' (kPa)</t>
        </is>
      </c>
      <c r="K5" s="5" t="inlineStr">
        <is>
          <t>φ' (°)</t>
        </is>
      </c>
      <c r="L5" s="5" t="inlineStr">
        <is>
          <t>E50ref (MPa)</t>
        </is>
      </c>
      <c r="M5" s="5" t="inlineStr">
        <is>
          <t>Vị trí tương quan TBM</t>
        </is>
      </c>
      <c r="N5" s="5" t="inlineStr">
        <is>
          <t>Cấp bằng chứng</t>
        </is>
      </c>
      <c r="O5" s="5" t="inlineStr">
        <is>
          <t>Trạng thái Audit</t>
        </is>
      </c>
    </row>
    <row r="6">
      <c r="B6" s="6" t="n">
        <v>1</v>
      </c>
      <c r="C6" s="6" t="inlineStr">
        <is>
          <t>Backfill</t>
        </is>
      </c>
      <c r="D6" s="4" t="inlineStr">
        <is>
          <t>Đất đắp mặt bằng đô thị</t>
        </is>
      </c>
      <c r="E6" s="6" t="inlineStr">
        <is>
          <t>Fill</t>
        </is>
      </c>
      <c r="F6" s="4" t="n">
        <v>1.93</v>
      </c>
      <c r="G6" s="4" t="inlineStr">
        <is>
          <t>1.0 - 3.5</t>
        </is>
      </c>
      <c r="H6" s="6" t="n">
        <v>4</v>
      </c>
      <c r="I6" s="6" t="n">
        <v>18</v>
      </c>
      <c r="J6" s="6" t="n">
        <v>10</v>
      </c>
      <c r="K6" s="6" t="n">
        <v>20</v>
      </c>
      <c r="L6" s="6" t="n">
        <v>8</v>
      </c>
      <c r="M6" s="4" t="inlineStr">
        <is>
          <t>Nằm trên mặt đất</t>
        </is>
      </c>
      <c r="N6" s="6" t="inlineStr">
        <is>
          <t>direct_text</t>
        </is>
      </c>
      <c r="O6" s="6" t="inlineStr">
        <is>
          <t>VERIFIED</t>
        </is>
      </c>
    </row>
    <row r="7">
      <c r="B7" s="10" t="n">
        <v>2</v>
      </c>
      <c r="C7" s="10" t="inlineStr">
        <is>
          <t>GU1</t>
        </is>
      </c>
      <c r="D7" s="12" t="inlineStr">
        <is>
          <t>Sét gầy lẫn dẻo cứng / bụi</t>
        </is>
      </c>
      <c r="E7" s="10" t="inlineStr">
        <is>
          <t>CL, CH</t>
        </is>
      </c>
      <c r="F7" s="12" t="n">
        <v>5.3</v>
      </c>
      <c r="G7" s="12" t="inlineStr">
        <is>
          <t>2.0 - 12.3</t>
        </is>
      </c>
      <c r="H7" s="10" t="n">
        <v>16</v>
      </c>
      <c r="I7" s="10" t="n">
        <v>19</v>
      </c>
      <c r="J7" s="10" t="n">
        <v>15</v>
      </c>
      <c r="K7" s="10" t="n">
        <v>25</v>
      </c>
      <c r="L7" s="10" t="n">
        <v>10</v>
      </c>
      <c r="M7" s="12" t="inlineStr">
        <is>
          <t>Nóc cách hầm 4-7m</t>
        </is>
      </c>
      <c r="N7" s="10" t="inlineStr">
        <is>
          <t>direct_text</t>
        </is>
      </c>
      <c r="O7" s="10" t="inlineStr">
        <is>
          <t>VERIFIED</t>
        </is>
      </c>
    </row>
    <row r="8">
      <c r="B8" s="15" t="n">
        <v>3</v>
      </c>
      <c r="C8" s="15" t="inlineStr">
        <is>
          <t>GU3&amp;4</t>
        </is>
      </c>
      <c r="D8" s="17" t="inlineStr">
        <is>
          <t>Sét dẻo cao hữu cơ / bùn sét</t>
        </is>
      </c>
      <c r="E8" s="15" t="inlineStr">
        <is>
          <t>CH, MH, ML</t>
        </is>
      </c>
      <c r="F8" s="17" t="n">
        <v>7.74</v>
      </c>
      <c r="G8" s="17" t="inlineStr">
        <is>
          <t>1.7 - 14.9</t>
        </is>
      </c>
      <c r="H8" s="15" t="n">
        <v>4</v>
      </c>
      <c r="I8" s="15" t="n">
        <v>18</v>
      </c>
      <c r="J8" s="15" t="n">
        <v>10</v>
      </c>
      <c r="K8" s="15" t="n">
        <v>20</v>
      </c>
      <c r="L8" s="15" t="n">
        <v>7</v>
      </c>
      <c r="M8" s="17" t="inlineStr">
        <is>
          <t>Phủ trực tiếp trên nóc hầm</t>
        </is>
      </c>
      <c r="N8" s="15" t="inlineStr">
        <is>
          <t>direct_table</t>
        </is>
      </c>
      <c r="O8" s="15" t="inlineStr">
        <is>
          <t>AUDIT_HIGHLIGHT</t>
        </is>
      </c>
    </row>
    <row r="9">
      <c r="B9" s="10" t="n">
        <v>4</v>
      </c>
      <c r="C9" s="10" t="inlineStr">
        <is>
          <t>GU5_a</t>
        </is>
      </c>
      <c r="D9" s="12" t="inlineStr">
        <is>
          <t>Cát mịn/cát bụi rời đến chặt vừa</t>
        </is>
      </c>
      <c r="E9" s="10" t="inlineStr">
        <is>
          <t>SC, SM, SP</t>
        </is>
      </c>
      <c r="F9" s="12" t="n">
        <v>11.93</v>
      </c>
      <c r="G9" s="12" t="inlineStr">
        <is>
          <t>7.7 - 15.7</t>
        </is>
      </c>
      <c r="H9" s="10" t="n">
        <v>20</v>
      </c>
      <c r="I9" s="10" t="n">
        <v>20</v>
      </c>
      <c r="J9" s="10" t="n">
        <v>0</v>
      </c>
      <c r="K9" s="10" t="n">
        <v>32</v>
      </c>
      <c r="L9" s="10" t="n">
        <v>10</v>
      </c>
      <c r="M9" s="12" t="inlineStr">
        <is>
          <t>Hầm TBM nằm trực tiếp trong tầng này</t>
        </is>
      </c>
      <c r="N9" s="10" t="inlineStr">
        <is>
          <t>direct_table</t>
        </is>
      </c>
      <c r="O9" s="10" t="inlineStr">
        <is>
          <t>VERIFIED</t>
        </is>
      </c>
    </row>
    <row r="10">
      <c r="B10" s="6" t="n">
        <v>5</v>
      </c>
      <c r="C10" s="6" t="inlineStr">
        <is>
          <t>GU5_b</t>
        </is>
      </c>
      <c r="D10" s="4" t="inlineStr">
        <is>
          <t>Cát mịn/cát bụi chặt</t>
        </is>
      </c>
      <c r="E10" s="6" t="inlineStr">
        <is>
          <t>SP, SW</t>
        </is>
      </c>
      <c r="F10" s="4" t="n">
        <v>3.6</v>
      </c>
      <c r="G10" s="4" t="inlineStr">
        <is>
          <t>1.0 - 7.7</t>
        </is>
      </c>
      <c r="H10" s="6" t="n">
        <v>43</v>
      </c>
      <c r="I10" s="6" t="n">
        <v>21</v>
      </c>
      <c r="J10" s="6" t="n">
        <v>0</v>
      </c>
      <c r="K10" s="6" t="n">
        <v>33</v>
      </c>
      <c r="L10" s="6" t="n">
        <v>15</v>
      </c>
      <c r="M10" s="4" t="inlineStr">
        <is>
          <t>Dưới đáy hầm</t>
        </is>
      </c>
      <c r="N10" s="6" t="inlineStr">
        <is>
          <t>direct_table</t>
        </is>
      </c>
      <c r="O10" s="6" t="inlineStr">
        <is>
          <t>VERIFIED</t>
        </is>
      </c>
    </row>
    <row r="11">
      <c r="B11" s="10" t="n">
        <v>6</v>
      </c>
      <c r="C11" s="10" t="inlineStr">
        <is>
          <t>GU7&amp;8</t>
        </is>
      </c>
      <c r="D11" s="12" t="inlineStr">
        <is>
          <t>Cát-sỏi rất chặt</t>
        </is>
      </c>
      <c r="E11" s="10" t="inlineStr">
        <is>
          <t>GP, SM</t>
        </is>
      </c>
      <c r="F11" s="12" t="n">
        <v>8.300000000000001</v>
      </c>
      <c r="G11" s="12" t="inlineStr">
        <is>
          <t>7.4 - 8.9</t>
        </is>
      </c>
      <c r="H11" s="10" t="n">
        <v>52</v>
      </c>
      <c r="I11" s="10" t="n">
        <v>21</v>
      </c>
      <c r="J11" s="10" t="n">
        <v>0</v>
      </c>
      <c r="K11" s="10" t="n">
        <v>40</v>
      </c>
      <c r="L11" s="10" t="n">
        <v>45</v>
      </c>
      <c r="M11" s="12" t="inlineStr">
        <is>
          <t>Tầng cuội sỏi chịu lực</t>
        </is>
      </c>
      <c r="N11" s="10" t="inlineStr">
        <is>
          <t>direct_table</t>
        </is>
      </c>
      <c r="O11" s="10" t="inlineStr">
        <is>
          <t>VERIFIED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24" customWidth="1" min="3" max="3"/>
    <col width="27" customWidth="1" min="4" max="4"/>
    <col width="25" customWidth="1" min="5" max="5"/>
    <col width="24" customWidth="1" min="6" max="6"/>
    <col width="19" customWidth="1" min="7" max="7"/>
    <col width="25" customWidth="1" min="8" max="8"/>
    <col width="39" customWidth="1" min="9" max="9"/>
    <col width="18" customWidth="1" min="10" max="10"/>
    <col width="24" customWidth="1" min="11" max="11"/>
    <col width="55" customWidth="1" min="12" max="12"/>
    <col width="19" customWidth="1" min="13" max="13"/>
  </cols>
  <sheetData>
    <row r="1"/>
    <row r="2">
      <c r="B2" s="1" t="inlineStr">
        <is>
          <t>BẢNG THÔNG SỐ TÍNH TOÁN ĐỊA KỸ THUẬT CHO 3 MẶT CẮT HẦM ĐÔ THỊ</t>
        </is>
      </c>
    </row>
    <row r="3">
      <c r="B3" s="2" t="inlineStr">
        <is>
          <t>Đối chiếu các thông số hình học và cơ lý phục vụ mô hình hóa lún mặt đất</t>
        </is>
      </c>
    </row>
    <row r="4"/>
    <row r="5">
      <c r="B5" s="5" t="inlineStr">
        <is>
          <t>Mặt cắt đại diện</t>
        </is>
      </c>
      <c r="C5" s="5" t="inlineStr">
        <is>
          <t>Lý trình xấp xỉ</t>
        </is>
      </c>
      <c r="D5" s="5" t="inlineStr">
        <is>
          <t>Chiều sâu tim hầm z0 (m)</t>
        </is>
      </c>
      <c r="E5" s="5" t="inlineStr">
        <is>
          <t>Đường kính ngoài D (m)</t>
        </is>
      </c>
      <c r="F5" s="5" t="inlineStr">
        <is>
          <t>Khoảng cách tim d (m)</t>
        </is>
      </c>
      <c r="G5" s="5" t="inlineStr">
        <is>
          <t>Hệ số phễu lún K</t>
        </is>
      </c>
      <c r="H5" s="5" t="inlineStr">
        <is>
          <t>Bề rộng phễu lún i (m)</t>
        </is>
      </c>
      <c r="I5" s="5" t="inlineStr">
        <is>
          <t>Đất chủ đạo quanh hầm</t>
        </is>
      </c>
      <c r="J5" s="5" t="inlineStr">
        <is>
          <t>Hệ số Poisson ν</t>
        </is>
      </c>
      <c r="K5" s="5" t="inlineStr">
        <is>
          <t>Mực nước ngầm (m bgs)</t>
        </is>
      </c>
      <c r="L5" s="5" t="inlineStr">
        <is>
          <t>Cơ sở xác định K</t>
        </is>
      </c>
      <c r="M5" s="5" t="inlineStr">
        <is>
          <t>Trạng thái Audit</t>
        </is>
      </c>
    </row>
    <row r="6">
      <c r="B6" s="4" t="inlineStr">
        <is>
          <t>S9–S10 (Kim Mã - Cát Linh)</t>
        </is>
      </c>
      <c r="C6" s="4" t="inlineStr">
        <is>
          <t>Km 8+400 – Km 9+200</t>
        </is>
      </c>
      <c r="D6" s="6" t="n">
        <v>15</v>
      </c>
      <c r="E6" s="6" t="n">
        <v>6.3</v>
      </c>
      <c r="F6" s="6" t="n">
        <v>13</v>
      </c>
      <c r="G6" s="6" t="n">
        <v>0.5</v>
      </c>
      <c r="H6" s="23">
        <f>D6*G6</f>
        <v/>
      </c>
      <c r="I6" s="4" t="inlineStr">
        <is>
          <t>Cát mịn chặt vừa (GU5_a) phủ sét yếu</t>
        </is>
      </c>
      <c r="J6" s="6" t="n">
        <v>0.3</v>
      </c>
      <c r="K6" s="6" t="n">
        <v>11</v>
      </c>
      <c r="L6" s="4" t="inlineStr">
        <is>
          <t>Đất hỗn hợp cát pha sét dẻo (Peck 1969: K=0.4-0.6)</t>
        </is>
      </c>
      <c r="M6" s="6" t="inlineStr">
        <is>
          <t>VERIFIED</t>
        </is>
      </c>
    </row>
    <row r="7">
      <c r="B7" s="17" t="inlineStr">
        <is>
          <t>S10–S11 (Cát Linh - Văn Miếu)</t>
        </is>
      </c>
      <c r="C7" s="17" t="inlineStr">
        <is>
          <t>Km 9+200 – Km 10+200</t>
        </is>
      </c>
      <c r="D7" s="15" t="n">
        <v>16.5</v>
      </c>
      <c r="E7" s="15" t="n">
        <v>6.3</v>
      </c>
      <c r="F7" s="15" t="n">
        <v>13</v>
      </c>
      <c r="G7" s="15" t="n">
        <v>0.55</v>
      </c>
      <c r="H7" s="24">
        <f>D7*G7</f>
        <v/>
      </c>
      <c r="I7" s="17" t="inlineStr">
        <is>
          <t>Chuyển tiếp sét dẻo cứng và cát mịn</t>
        </is>
      </c>
      <c r="J7" s="15" t="n">
        <v>0.33</v>
      </c>
      <c r="K7" s="15" t="n">
        <v>9</v>
      </c>
      <c r="L7" s="17" t="inlineStr">
        <is>
          <t>Tầng chuyển tiếp địa chất đô thị cổ</t>
        </is>
      </c>
      <c r="M7" s="15" t="inlineStr">
        <is>
          <t>AUDIT_HIGHLIGHT</t>
        </is>
      </c>
    </row>
    <row r="8">
      <c r="B8" s="17" t="inlineStr">
        <is>
          <t>S11–S12 (Văn Miếu - Ga Hà Nội)</t>
        </is>
      </c>
      <c r="C8" s="17" t="inlineStr">
        <is>
          <t>Km 10+200 – Km 11+500</t>
        </is>
      </c>
      <c r="D8" s="15" t="n">
        <v>18</v>
      </c>
      <c r="E8" s="15" t="n">
        <v>6.3</v>
      </c>
      <c r="F8" s="15" t="n">
        <v>13</v>
      </c>
      <c r="G8" s="15" t="n">
        <v>0.6</v>
      </c>
      <c r="H8" s="24">
        <f>D8*G8</f>
        <v/>
      </c>
      <c r="I8" s="17" t="inlineStr">
        <is>
          <t>Bùn sét hữu cơ dày 12.7m (BH12)</t>
        </is>
      </c>
      <c r="J8" s="15" t="n">
        <v>0.35</v>
      </c>
      <c r="K8" s="15" t="n">
        <v>6</v>
      </c>
      <c r="L8" s="17" t="inlineStr">
        <is>
          <t>Sét yếu bão hòa nước (Clough &amp; Schmidt 1981: K=0.6-0.7)</t>
        </is>
      </c>
      <c r="M8" s="15" t="inlineStr">
        <is>
          <t>AUDIT_HIGHLIGHT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41" customWidth="1" min="3" max="3"/>
    <col width="18" customWidth="1" min="4" max="4"/>
    <col width="38" customWidth="1" min="5" max="5"/>
    <col width="32" customWidth="1" min="6" max="6"/>
    <col width="22" customWidth="1" min="7" max="7"/>
    <col width="26" customWidth="1" min="8" max="8"/>
    <col width="55" customWidth="1" min="9" max="9"/>
    <col width="55" customWidth="1" min="10" max="10"/>
  </cols>
  <sheetData>
    <row r="1"/>
    <row r="2">
      <c r="B2" s="1" t="inlineStr">
        <is>
          <t>NHẬT KÝ KIỂM ĐỊNH NGUỒN VÀ TRUY NGUYÊN CHỨNG CỨ (EVIDENCE AUDIT)</t>
        </is>
      </c>
    </row>
    <row r="3"/>
    <row r="4">
      <c r="B4" s="5" t="inlineStr">
        <is>
          <t>Mã kiểm định</t>
        </is>
      </c>
      <c r="C4" s="5" t="inlineStr">
        <is>
          <t>Đối tượng tham số</t>
        </is>
      </c>
      <c r="D4" s="5" t="inlineStr">
        <is>
          <t>Giá trị áp dụng</t>
        </is>
      </c>
      <c r="E4" s="5" t="inlineStr">
        <is>
          <t>Nguồn dẫn chứng</t>
        </is>
      </c>
      <c r="F4" s="5" t="inlineStr">
        <is>
          <t>Vị trí trong tài liệu</t>
        </is>
      </c>
      <c r="G4" s="5" t="inlineStr">
        <is>
          <t>Phân loại chứng cứ</t>
        </is>
      </c>
      <c r="H4" s="5" t="inlineStr">
        <is>
          <t>Mức độ tin cậy</t>
        </is>
      </c>
      <c r="I4" s="5" t="inlineStr">
        <is>
          <t>Đánh giá / Phản biện của Auditor</t>
        </is>
      </c>
      <c r="J4" s="5" t="inlineStr">
        <is>
          <t>Hành động / Yêu cầu bổ sung khi quan trắc</t>
        </is>
      </c>
    </row>
    <row r="5">
      <c r="B5" s="10" t="inlineStr">
        <is>
          <t>AUDIT-01</t>
        </is>
      </c>
      <c r="C5" s="11" t="inlineStr">
        <is>
          <t>Đường kính khiên đào D</t>
        </is>
      </c>
      <c r="D5" s="10" t="inlineStr">
        <is>
          <t>6.30 m</t>
        </is>
      </c>
      <c r="E5" s="11" t="inlineStr">
        <is>
          <t>ADB-02, Nguyen et al. (2024)</t>
        </is>
      </c>
      <c r="F5" s="11" t="inlineStr">
        <is>
          <t>Trang 13048, Báo cáo ĐTM 2013</t>
        </is>
      </c>
      <c r="G5" s="10" t="inlineStr">
        <is>
          <t>direct_text</t>
        </is>
      </c>
      <c r="H5" s="10" t="inlineStr">
        <is>
          <t>Cao (Confirmed)</t>
        </is>
      </c>
      <c r="I5" s="11" t="inlineStr">
        <is>
          <t>Kích thước chuẩn của khiên đào EPB Herrenknecht S-1070/1071</t>
        </is>
      </c>
      <c r="J5" s="11" t="inlineStr">
        <is>
          <t>Đối chiếu bản vẽ as-built thực tế vỏ hầm đúc sẵn</t>
        </is>
      </c>
    </row>
    <row r="6">
      <c r="B6" s="15" t="inlineStr">
        <is>
          <t>AUDIT-02</t>
        </is>
      </c>
      <c r="C6" s="22" t="inlineStr">
        <is>
          <t>Khoảng cách tim hầm đôi d</t>
        </is>
      </c>
      <c r="D6" s="15" t="inlineStr">
        <is>
          <t>13.0 m (12-15m)</t>
        </is>
      </c>
      <c r="E6" s="22" t="inlineStr">
        <is>
          <t>ADB-02, Nguyen et al. (2024)</t>
        </is>
      </c>
      <c r="F6" s="22" t="inlineStr">
        <is>
          <t>Mục I tr. 13047</t>
        </is>
      </c>
      <c r="G6" s="15" t="inlineStr">
        <is>
          <t>model_assumption</t>
        </is>
      </c>
      <c r="H6" s="15" t="inlineStr">
        <is>
          <t>Trung bình (Regional)</t>
        </is>
      </c>
      <c r="I6" s="22" t="inlineStr">
        <is>
          <t>Khoảng cách tim thay đổi cục bộ tại lối vào ga và chuyển tiếp</t>
        </is>
      </c>
      <c r="J6" s="22" t="inlineStr">
        <is>
          <t>Cần trích xuất bản vẽ bình đồ tim tuyến CAD CP03 chuẩn</t>
        </is>
      </c>
    </row>
    <row r="7">
      <c r="B7" s="10" t="inlineStr">
        <is>
          <t>AUDIT-03</t>
        </is>
      </c>
      <c r="C7" s="11" t="inlineStr">
        <is>
          <t>Hệ số K tại S9-S10</t>
        </is>
      </c>
      <c r="D7" s="10" t="inlineStr">
        <is>
          <t>0.50</t>
        </is>
      </c>
      <c r="E7" s="11" t="inlineStr">
        <is>
          <t>Peck (1969), Mair et al. (1993)</t>
        </is>
      </c>
      <c r="F7" s="11" t="inlineStr">
        <is>
          <t>Peck tr. 231, Mair tr. 32</t>
        </is>
      </c>
      <c r="G7" s="10" t="inlineStr">
        <is>
          <t>derived_empirical</t>
        </is>
      </c>
      <c r="H7" s="10" t="inlineStr">
        <is>
          <t>Khá (Literature)</t>
        </is>
      </c>
      <c r="I7" s="11" t="inlineStr">
        <is>
          <t>Phù hợp với địa tầng cát pha sét chặt vừa</t>
        </is>
      </c>
      <c r="J7" s="11" t="inlineStr">
        <is>
          <t>Hiệu chỉnh ngược (Back-analysis) từ mốc quan trắc bề mặt</t>
        </is>
      </c>
    </row>
    <row r="8">
      <c r="B8" s="15" t="inlineStr">
        <is>
          <t>AUDIT-04</t>
        </is>
      </c>
      <c r="C8" s="22" t="inlineStr">
        <is>
          <t>Hệ số K tại S11-S12</t>
        </is>
      </c>
      <c r="D8" s="15" t="inlineStr">
        <is>
          <t>0.60</t>
        </is>
      </c>
      <c r="E8" s="22" t="inlineStr">
        <is>
          <t>Clough &amp; Schmidt (1981)</t>
        </is>
      </c>
      <c r="F8" s="22" t="inlineStr">
        <is>
          <t>Chương 8 TBM Soft Soil</t>
        </is>
      </c>
      <c r="G8" s="15" t="inlineStr">
        <is>
          <t>derived_empirical</t>
        </is>
      </c>
      <c r="H8" s="15" t="inlineStr">
        <is>
          <t>Trung bình (Literature)</t>
        </is>
      </c>
      <c r="I8" s="22" t="inlineStr">
        <is>
          <t>Tầng bùn sét hữu cơ mềm dày 12.7m làm mở rộng phễu lún</t>
        </is>
      </c>
      <c r="J8" s="22" t="inlineStr">
        <is>
          <t>Bắt buộc cắm dày cụm quan trắc ngang tại Quốc Tử Giám - Ga Hà Nội</t>
        </is>
      </c>
    </row>
    <row r="9">
      <c r="B9" s="15" t="inlineStr">
        <is>
          <t>AUDIT-05</t>
        </is>
      </c>
      <c r="C9" s="22" t="inlineStr">
        <is>
          <t>Mực nước ngầm BH12 (-6.0m)</t>
        </is>
      </c>
      <c r="D9" s="15" t="inlineStr">
        <is>
          <t>6.0 m bgs</t>
        </is>
      </c>
      <c r="E9" s="22" t="inlineStr">
        <is>
          <t>Nguyen, Kohata &amp; Nguyen (2024)</t>
        </is>
      </c>
      <c r="F9" s="22" t="inlineStr">
        <is>
          <t>Tr. 86 bài viết TCXD</t>
        </is>
      </c>
      <c r="G9" s="15" t="inlineStr">
        <is>
          <t>model_assumption</t>
        </is>
      </c>
      <c r="H9" s="15" t="inlineStr">
        <is>
          <t>Thấp (Model Input)</t>
        </is>
      </c>
      <c r="I9" s="22" t="inlineStr">
        <is>
          <t>Giá trị giả định tính toán trong bài báo, không phải số đo piezometer tại hố khoan</t>
        </is>
      </c>
      <c r="J9" s="22" t="inlineStr">
        <is>
          <t>Lắp đặt ống đo áp piezometer đo mực nước ngầm tự nhiên và áp lực nước lỗ rỗng</t>
        </is>
      </c>
    </row>
    <row r="10">
      <c r="B10" s="6" t="inlineStr">
        <is>
          <t>AUDIT-06</t>
        </is>
      </c>
      <c r="C10" s="7" t="inlineStr">
        <is>
          <t>Dải tổn thất thể tích VL (0.5% - 2.0%)</t>
        </is>
      </c>
      <c r="D10" s="6" t="inlineStr">
        <is>
          <t>0.005 - 0.020</t>
        </is>
      </c>
      <c r="E10" s="7" t="inlineStr">
        <is>
          <t>Mair (1996), TCVN &amp; Kinh nghiệm EPB</t>
        </is>
      </c>
      <c r="F10" s="7" t="inlineStr">
        <is>
          <t>Mair et al. (1996) tr. 45</t>
        </is>
      </c>
      <c r="G10" s="6" t="inlineStr">
        <is>
          <t>scenario_assumption</t>
        </is>
      </c>
      <c r="H10" s="6" t="inlineStr">
        <is>
          <t>Cao (Standards)</t>
        </is>
      </c>
      <c r="I10" s="7" t="inlineStr">
        <is>
          <t>Bao quát toàn bộ dải thi công từ lý tưởng (&lt;0.5%) đến gặp sự cố (&gt;1.5%)</t>
        </is>
      </c>
      <c r="J10" s="7" t="inlineStr">
        <is>
          <t>Ghi nhận thể tích vữa phụt chèn và thể tích đất đào thực tế của từng ring TBM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2026-10-13T20:47:47Z</dcterms:created>
  <dcterms:modified xmlns:dcterms="http://purl.org/dc/terms/" xmlns:xsi="http://www.w3.org/2001/XMLSchema-instance" xsi:type="dcterms:W3CDTF">2026-10-13T20:47:47Z</dcterms:modified>
</cp:coreProperties>
</file>