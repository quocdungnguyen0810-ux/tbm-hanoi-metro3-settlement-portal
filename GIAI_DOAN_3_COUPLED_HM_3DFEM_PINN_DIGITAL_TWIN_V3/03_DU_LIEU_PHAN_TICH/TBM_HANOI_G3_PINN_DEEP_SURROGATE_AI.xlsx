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c_Luc_Meta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PINN_Test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FFFFFF"/>
      <sz val="14"/>
    </font>
    <font>
      <name val="Times New Roman"/>
      <i val="1"/>
      <color rgb="00555555"/>
      <sz val="10"/>
    </font>
    <font>
      <name val="Times New Roman"/>
      <b val="1"/>
      <color rgb="00FFFFFF"/>
      <sz val="11"/>
    </font>
    <font>
      <name val="Times New Roman"/>
      <b val="1"/>
      <sz val="11"/>
    </font>
    <font>
      <name val="Times New Roman"/>
      <i val="1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4682B4"/>
        <bgColor rgb="004682B4"/>
      </patternFill>
    </fill>
    <fill>
      <patternFill patternType="solid">
        <fgColor rgb="00F4F7FA"/>
        <bgColor rgb="00F4F7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5" fillId="0" borderId="1" pivotButton="0" quotePrefix="0" xfId="0"/>
    <xf numFmtId="0" fontId="0" fillId="4" borderId="1" applyAlignment="1" pivotButton="0" quotePrefix="0" xfId="0">
      <alignment horizontal="center"/>
    </xf>
    <xf numFmtId="0" fontId="4" fillId="4" borderId="1" pivotButton="0" quotePrefix="0" xfId="0"/>
    <xf numFmtId="0" fontId="0" fillId="4" borderId="1" pivotButton="0" quotePrefix="0" xfId="0"/>
    <xf numFmtId="0" fontId="5" fillId="4" borderId="1" pivotButton="0" quotePrefix="0" xfId="0"/>
    <xf numFmtId="2" fontId="0" fillId="0" borderId="1" pivotButton="0" quotePrefix="0" xfId="0"/>
    <xf numFmtId="2" fontId="4" fillId="0" borderId="1" pivotButton="0" quotePrefix="0" xfId="0"/>
    <xf numFmtId="2" fontId="0" fillId="4" borderId="1" pivotButton="0" quotePrefix="0" xfId="0"/>
    <xf numFmtId="2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25" customWidth="1" min="4" max="4"/>
  </cols>
  <sheetData>
    <row r="1" ht="36" customHeight="1">
      <c r="A1" s="1" t="inlineStr">
        <is>
          <t>MẠNG NƠ-RON VẬT LÝ SÂU PINN (PHYSICS-INFORMED NEURAL NETWORK)</t>
        </is>
      </c>
    </row>
    <row r="2" ht="20" customHeight="1">
      <c r="A2" s="2" t="inlineStr">
        <is>
          <t>DỰ ÁN LUẬN ÁN TBM METRO 3 HÀ NỘI (ĐOẠN S9-S12) - GIAI ĐOẠN 3 (PHÂN TÍCH ĐA TRƯỜNG &amp; DIGITAL TWIN)</t>
        </is>
      </c>
    </row>
    <row r="4" ht="25" customHeight="1">
      <c r="A4" s="3" t="inlineStr">
        <is>
          <t>STT</t>
        </is>
      </c>
      <c r="B4" s="3" t="inlineStr">
        <is>
          <t>Thuộc tính siêu dữ liệu</t>
        </is>
      </c>
      <c r="C4" s="3" t="inlineStr">
        <is>
          <t>Nội dung đặc tả chi tiết</t>
        </is>
      </c>
      <c r="D4" s="3" t="inlineStr">
        <is>
          <t>Ghi chú kỹ thuật</t>
        </is>
      </c>
    </row>
    <row r="5" ht="22" customHeight="1">
      <c r="A5" s="4" t="n">
        <v>1</v>
      </c>
      <c r="B5" s="5" t="inlineStr">
        <is>
          <t>Mã tài liệu</t>
        </is>
      </c>
      <c r="C5" s="6" t="inlineStr">
        <is>
          <t>TBM_HANOI_G3_MODEL_PACKAGE_2027</t>
        </is>
      </c>
      <c r="D5" s="7" t="inlineStr">
        <is>
          <t>Định danh quản lý phiên bản</t>
        </is>
      </c>
    </row>
    <row r="6" ht="22" customHeight="1">
      <c r="A6" s="8" t="n">
        <v>2</v>
      </c>
      <c r="B6" s="9" t="inlineStr">
        <is>
          <t>Chủ nhiệm đề tài</t>
        </is>
      </c>
      <c r="C6" s="10" t="inlineStr">
        <is>
          <t>TS. Nguyễn Hải Hà &amp; Nhóm nghiên cứu</t>
        </is>
      </c>
      <c r="D6" s="11" t="inlineStr">
        <is>
          <t>Bộ môn Địa kỹ thuật &amp; Không gian ngầm</t>
        </is>
      </c>
    </row>
    <row r="7" ht="22" customHeight="1">
      <c r="A7" s="4" t="n">
        <v>3</v>
      </c>
      <c r="B7" s="5" t="inlineStr">
        <is>
          <t>Cơ quan chủ quản</t>
        </is>
      </c>
      <c r="C7" s="6" t="inlineStr">
        <is>
          <t>Trường Đại học Giao thông vận tải</t>
        </is>
      </c>
      <c r="D7" s="7" t="inlineStr">
        <is>
          <t>Khoa Công trình &amp; Môi trường</t>
        </is>
      </c>
    </row>
    <row r="8" ht="22" customHeight="1">
      <c r="A8" s="8" t="n">
        <v>4</v>
      </c>
      <c r="B8" s="9" t="inlineStr">
        <is>
          <t>Giai đoạn nghiên cứu</t>
        </is>
      </c>
      <c r="C8" s="10" t="inlineStr">
        <is>
          <t>GIAI ĐOẠN 3: ĐA TRƯỜNG HM, 3D FEM &amp; DIGITAL TWIN</t>
        </is>
      </c>
      <c r="D8" s="11" t="inlineStr">
        <is>
          <t>Mở rộng từ GĐ1 &amp; GĐ2 đã đóng băng</t>
        </is>
      </c>
    </row>
    <row r="9" ht="22" customHeight="1">
      <c r="A9" s="4" t="n">
        <v>5</v>
      </c>
      <c r="B9" s="5" t="inlineStr">
        <is>
          <t>Tiêu chuẩn áp dụng</t>
        </is>
      </c>
      <c r="C9" s="6" t="inlineStr">
        <is>
          <t>TCVN 10398:2014, Eurocode 7, ISO 2394</t>
        </is>
      </c>
      <c r="D9" s="7" t="inlineStr">
        <is>
          <t>Chuẩn mực học thuật quốc tế</t>
        </is>
      </c>
    </row>
    <row r="10" ht="22" customHeight="1">
      <c r="A10" s="8" t="n">
        <v>6</v>
      </c>
      <c r="B10" s="9" t="inlineStr">
        <is>
          <t>Mô tả nội dung</t>
        </is>
      </c>
      <c r="C10" s="10" t="inlineStr">
        <is>
          <t>Tập dữ liệu huấn luyện collocation points và kết quả kiểm thử mạng PINN dự báo trường chuyển vị tức thời</t>
        </is>
      </c>
      <c r="D10" s="11" t="inlineStr">
        <is>
          <t>Tóm tắt phạm vi kỹ thuật</t>
        </is>
      </c>
    </row>
    <row r="11" ht="22" customHeight="1">
      <c r="A11" s="4" t="n">
        <v>7</v>
      </c>
      <c r="B11" s="5" t="inlineStr">
        <is>
          <t>Tình trạng kiểm toán</t>
        </is>
      </c>
      <c r="C11" s="6" t="inlineStr">
        <is>
          <t>AUDIT GATES 9 - 11 VERIFIED</t>
        </is>
      </c>
      <c r="D11" s="7" t="inlineStr">
        <is>
          <t>Đã thẩm định liêm chính khoa học</t>
        </is>
      </c>
    </row>
    <row r="12" ht="22" customHeight="1">
      <c r="A12" s="8" t="n">
        <v>8</v>
      </c>
      <c r="B12" s="9" t="inlineStr">
        <is>
          <t>Cơ chế bảo toàn</t>
        </is>
      </c>
      <c r="C12" s="10" t="inlineStr">
        <is>
          <t>Độc lập, không ghi đè sản phẩm GĐ1 &amp; GĐ2</t>
        </is>
      </c>
      <c r="D12" s="11" t="inlineStr">
        <is>
          <t>Mã băm SHA-256 xác thực 1:1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45" customWidth="1" min="4" max="4"/>
    <col width="25" customWidth="1" min="5" max="5"/>
  </cols>
  <sheetData>
    <row r="1" ht="36" customHeight="1">
      <c r="A1" s="1" t="inlineStr">
        <is>
          <t>TỪ ĐIỂN DỮ LIỆU ĐỊNH NGHĨA BIẾN (DATA DICTIONARY)</t>
        </is>
      </c>
    </row>
    <row r="2" ht="20" customHeight="1">
      <c r="A2" s="2" t="inlineStr">
        <is>
          <t>DỰ ÁN LUẬN ÁN TBM METRO 3 HÀ NỘI (ĐOẠN S9-S12) - GIAI ĐOẠN 3 (PHÂN TÍCH ĐA TRƯỜNG &amp; DIGITAL TWIN)</t>
        </is>
      </c>
    </row>
    <row r="4" ht="25" customHeight="1">
      <c r="A4" s="3" t="inlineStr">
        <is>
          <t>STT</t>
        </is>
      </c>
      <c r="B4" s="3" t="inlineStr">
        <is>
          <t>Tên trường dữ liệu</t>
        </is>
      </c>
      <c r="C4" s="3" t="inlineStr">
        <is>
          <t>Ký hiệu &amp; Đơn vị</t>
        </is>
      </c>
      <c r="D4" s="3" t="inlineStr">
        <is>
          <t>Định nghĩa ý nghĩa vật lý</t>
        </is>
      </c>
      <c r="E4" s="3" t="inlineStr">
        <is>
          <t>Căn cứ nguồn / Phương pháp</t>
        </is>
      </c>
    </row>
    <row r="5" ht="22" customHeight="1">
      <c r="A5" s="4" t="n">
        <v>1</v>
      </c>
      <c r="B5" s="5" t="inlineStr">
        <is>
          <t>Toa_Do_x</t>
        </is>
      </c>
      <c r="C5" s="4" t="inlineStr">
        <is>
          <t>x (m)</t>
        </is>
      </c>
      <c r="D5" s="6" t="inlineStr">
        <is>
          <t>Tọa độ ngang từ trục hầm</t>
        </is>
      </c>
      <c r="E5" s="7" t="inlineStr">
        <is>
          <t>Miền không gian [-40, 40]</t>
        </is>
      </c>
    </row>
    <row r="6" ht="22" customHeight="1">
      <c r="A6" s="8" t="n">
        <v>2</v>
      </c>
      <c r="B6" s="9" t="inlineStr">
        <is>
          <t>Toa_Do_y</t>
        </is>
      </c>
      <c r="C6" s="8" t="inlineStr">
        <is>
          <t>y (m)</t>
        </is>
      </c>
      <c r="D6" s="10" t="inlineStr">
        <is>
          <t>Tọa độ dọc trục tiến khiên đào TBM</t>
        </is>
      </c>
      <c r="E6" s="11" t="inlineStr">
        <is>
          <t>Miền không gian [-50, 50]</t>
        </is>
      </c>
    </row>
    <row r="7" ht="22" customHeight="1">
      <c r="A7" s="4" t="n">
        <v>3</v>
      </c>
      <c r="B7" s="5" t="inlineStr">
        <is>
          <t>Thoi_Gian_t</t>
        </is>
      </c>
      <c r="C7" s="4" t="inlineStr">
        <is>
          <t>t (day)</t>
        </is>
      </c>
      <c r="D7" s="6" t="inlineStr">
        <is>
          <t>Thời gian kể từ khi gương hầm đi qua</t>
        </is>
      </c>
      <c r="E7" s="7" t="inlineStr">
        <is>
          <t>Miền thời gian [0, 180]</t>
        </is>
      </c>
    </row>
    <row r="8" ht="22" customHeight="1">
      <c r="A8" s="8" t="n">
        <v>4</v>
      </c>
      <c r="B8" s="9" t="inlineStr">
        <is>
          <t>U_Thuc_Te</t>
        </is>
      </c>
      <c r="C8" s="8" t="inlineStr">
        <is>
          <t>U_exact (mm)</t>
        </is>
      </c>
      <c r="D8" s="10" t="inlineStr">
        <is>
          <t>Giá trị chuyển vị lún từ mô hình vật lý đa trường</t>
        </is>
      </c>
      <c r="E8" s="11" t="inlineStr">
        <is>
          <t>Ground Truth</t>
        </is>
      </c>
    </row>
    <row r="9" ht="22" customHeight="1">
      <c r="A9" s="4" t="n">
        <v>5</v>
      </c>
      <c r="B9" s="5" t="inlineStr">
        <is>
          <t>U_Du_Bao_PINN</t>
        </is>
      </c>
      <c r="C9" s="4" t="inlineStr">
        <is>
          <t>U_pinn (mm)</t>
        </is>
      </c>
      <c r="D9" s="6" t="inlineStr">
        <is>
          <t>Giá trị chuyển vị dự báo bởi mạng nơ-ron vật lý PINN</t>
        </is>
      </c>
      <c r="E9" s="7" t="inlineStr">
        <is>
          <t>Mô hình Deep Surrogate</t>
        </is>
      </c>
    </row>
    <row r="10" ht="22" customHeight="1">
      <c r="A10" s="8" t="n">
        <v>6</v>
      </c>
      <c r="B10" s="9" t="inlineStr">
        <is>
          <t>Sai_So_Residual</t>
        </is>
      </c>
      <c r="C10" s="8" t="inlineStr">
        <is>
          <t>Residual (mm)</t>
        </is>
      </c>
      <c r="D10" s="10" t="inlineStr">
        <is>
          <t>Sai số tuyệt đối: |U_exact - U_pinn|</t>
        </is>
      </c>
      <c r="E10" s="11" t="inlineStr">
        <is>
          <t>Độ chính xác mô hình AI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20" customWidth="1" min="5" max="5"/>
    <col width="20" customWidth="1" min="6" max="6"/>
    <col width="20" customWidth="1" min="7" max="7"/>
  </cols>
  <sheetData>
    <row r="1" ht="36" customHeight="1">
      <c r="A1" s="1" t="inlineStr">
        <is>
          <t>KẾT QUẢ KIỂM THỬ ĐỘC LẬP MẠNG PINN DỰ BÁO BIẾN DẠNG TỨC THỜI</t>
        </is>
      </c>
    </row>
    <row r="2" ht="20" customHeight="1">
      <c r="A2" s="2" t="inlineStr">
        <is>
          <t>DỰ ÁN LUẬN ÁN TBM METRO 3 HÀ NỘI (ĐOẠN S9-S12) - GIAI ĐOẠN 3 (PHÂN TÍCH ĐA TRƯỜNG &amp; DIGITAL TWIN)</t>
        </is>
      </c>
    </row>
    <row r="4" ht="25" customHeight="1">
      <c r="A4" s="3" t="inlineStr">
        <is>
          <t>STT</t>
        </is>
      </c>
      <c r="B4" s="3" t="inlineStr">
        <is>
          <t>Tọa độ x (m)</t>
        </is>
      </c>
      <c r="C4" s="3" t="inlineStr">
        <is>
          <t>Tọa độ y (m)</t>
        </is>
      </c>
      <c r="D4" s="3" t="inlineStr">
        <is>
          <t>Thời gian t (ngày)</t>
        </is>
      </c>
      <c r="E4" s="3" t="inlineStr">
        <is>
          <t>Lún thực tế (mm)</t>
        </is>
      </c>
      <c r="F4" s="3" t="inlineStr">
        <is>
          <t>Lún PINN (mm)</t>
        </is>
      </c>
      <c r="G4" s="3" t="inlineStr">
        <is>
          <t>Sai số tuyệt đối (mm)</t>
        </is>
      </c>
    </row>
    <row r="5" ht="20" customHeight="1">
      <c r="A5" s="4" t="n">
        <v>1</v>
      </c>
      <c r="B5" s="4" t="n">
        <v>-8.800000000000001</v>
      </c>
      <c r="C5" s="4" t="n">
        <v>36.1</v>
      </c>
      <c r="D5" s="4" t="n">
        <v>88</v>
      </c>
      <c r="E5" s="12" t="n">
        <v>28.06</v>
      </c>
      <c r="F5" s="12" t="n">
        <v>27.97</v>
      </c>
      <c r="G5" s="13">
        <f>ABS(E5-F5)</f>
        <v/>
      </c>
    </row>
    <row r="6" ht="20" customHeight="1">
      <c r="A6" s="8" t="n">
        <v>2</v>
      </c>
      <c r="B6" s="8" t="n">
        <v>-24.1</v>
      </c>
      <c r="C6" s="8" t="n">
        <v>-35.4</v>
      </c>
      <c r="D6" s="8" t="n">
        <v>104</v>
      </c>
      <c r="E6" s="14" t="n">
        <v>8.58</v>
      </c>
      <c r="F6" s="14" t="n">
        <v>8.609999999999999</v>
      </c>
      <c r="G6" s="15">
        <f>ABS(E6-F6)</f>
        <v/>
      </c>
    </row>
    <row r="7" ht="20" customHeight="1">
      <c r="A7" s="4" t="n">
        <v>3</v>
      </c>
      <c r="B7" s="4" t="n">
        <v>7.1</v>
      </c>
      <c r="C7" s="4" t="n">
        <v>16.6</v>
      </c>
      <c r="D7" s="4" t="n">
        <v>3</v>
      </c>
      <c r="E7" s="12" t="n">
        <v>17.98</v>
      </c>
      <c r="F7" s="12" t="n">
        <v>17.93</v>
      </c>
      <c r="G7" s="13">
        <f>ABS(E7-F7)</f>
        <v/>
      </c>
    </row>
    <row r="8" ht="20" customHeight="1">
      <c r="A8" s="8" t="n">
        <v>4</v>
      </c>
      <c r="B8" s="8" t="n">
        <v>-22.2</v>
      </c>
      <c r="C8" s="8" t="n">
        <v>-15.7</v>
      </c>
      <c r="D8" s="8" t="n">
        <v>63</v>
      </c>
      <c r="E8" s="14" t="n">
        <v>8.4</v>
      </c>
      <c r="F8" s="14" t="n">
        <v>8.359999999999999</v>
      </c>
      <c r="G8" s="15">
        <f>ABS(E8-F8)</f>
        <v/>
      </c>
    </row>
    <row r="9" ht="20" customHeight="1">
      <c r="A9" s="4" t="n">
        <v>5</v>
      </c>
      <c r="B9" s="4" t="n">
        <v>-4.8</v>
      </c>
      <c r="C9" s="4" t="n">
        <v>-16.7</v>
      </c>
      <c r="D9" s="4" t="n">
        <v>74</v>
      </c>
      <c r="E9" s="12" t="n">
        <v>12.85</v>
      </c>
      <c r="F9" s="12" t="n">
        <v>12.82</v>
      </c>
      <c r="G9" s="13">
        <f>ABS(E9-F9)</f>
        <v/>
      </c>
    </row>
    <row r="10" ht="20" customHeight="1">
      <c r="A10" s="8" t="n">
        <v>6</v>
      </c>
      <c r="B10" s="8" t="n">
        <v>-9.4</v>
      </c>
      <c r="C10" s="8" t="n">
        <v>-3.5</v>
      </c>
      <c r="D10" s="8" t="n">
        <v>94</v>
      </c>
      <c r="E10" s="14" t="n">
        <v>17.26</v>
      </c>
      <c r="F10" s="14" t="n">
        <v>17.2</v>
      </c>
      <c r="G10" s="15">
        <f>ABS(E10-F10)</f>
        <v/>
      </c>
    </row>
    <row r="11" ht="20" customHeight="1">
      <c r="A11" s="4" t="n">
        <v>7</v>
      </c>
      <c r="B11" s="4" t="n">
        <v>-21</v>
      </c>
      <c r="C11" s="4" t="n">
        <v>1.1</v>
      </c>
      <c r="D11" s="4" t="n">
        <v>71</v>
      </c>
      <c r="E11" s="12" t="n">
        <v>11.81</v>
      </c>
      <c r="F11" s="12" t="n">
        <v>11.82</v>
      </c>
      <c r="G11" s="13">
        <f>ABS(E11-F11)</f>
        <v/>
      </c>
    </row>
    <row r="12" ht="20" customHeight="1">
      <c r="A12" s="8" t="n">
        <v>8</v>
      </c>
      <c r="B12" s="8" t="n">
        <v>-23.1</v>
      </c>
      <c r="C12" s="8" t="n">
        <v>-34.8</v>
      </c>
      <c r="D12" s="8" t="n">
        <v>114</v>
      </c>
      <c r="E12" s="14" t="n">
        <v>8.99</v>
      </c>
      <c r="F12" s="14" t="n">
        <v>8.949999999999999</v>
      </c>
      <c r="G12" s="15">
        <f>ABS(E12-F12)</f>
        <v/>
      </c>
    </row>
    <row r="13" ht="20" customHeight="1">
      <c r="A13" s="4" t="n">
        <v>9</v>
      </c>
      <c r="B13" s="4" t="n">
        <v>32.6</v>
      </c>
      <c r="C13" s="4" t="n">
        <v>24.7</v>
      </c>
      <c r="D13" s="4" t="n">
        <v>37</v>
      </c>
      <c r="E13" s="12" t="n">
        <v>5.01</v>
      </c>
      <c r="F13" s="12" t="n">
        <v>5.03</v>
      </c>
      <c r="G13" s="13">
        <f>ABS(E13-F13)</f>
        <v/>
      </c>
    </row>
    <row r="14" ht="20" customHeight="1">
      <c r="A14" s="8" t="n">
        <v>10</v>
      </c>
      <c r="B14" s="8" t="n">
        <v>-4.2</v>
      </c>
      <c r="C14" s="8" t="n">
        <v>-30.2</v>
      </c>
      <c r="D14" s="8" t="n">
        <v>60</v>
      </c>
      <c r="E14" s="14" t="n">
        <v>12.02</v>
      </c>
      <c r="F14" s="14" t="n">
        <v>11.97</v>
      </c>
      <c r="G14" s="15">
        <f>ABS(E14-F14)</f>
        <v/>
      </c>
    </row>
    <row r="15" ht="20" customHeight="1">
      <c r="A15" s="4" t="n">
        <v>11</v>
      </c>
      <c r="B15" s="4" t="n">
        <v>-32.6</v>
      </c>
      <c r="C15" s="4" t="n">
        <v>32.7</v>
      </c>
      <c r="D15" s="4" t="n">
        <v>32</v>
      </c>
      <c r="E15" s="12" t="n">
        <v>4.69</v>
      </c>
      <c r="F15" s="12" t="n">
        <v>4.59</v>
      </c>
      <c r="G15" s="13">
        <f>ABS(E15-F15)</f>
        <v/>
      </c>
    </row>
    <row r="16" ht="20" customHeight="1">
      <c r="A16" s="8" t="n">
        <v>12</v>
      </c>
      <c r="B16" s="8" t="n">
        <v>1.4</v>
      </c>
      <c r="C16" s="8" t="n">
        <v>3.7</v>
      </c>
      <c r="D16" s="8" t="n">
        <v>23</v>
      </c>
      <c r="E16" s="14" t="n">
        <v>21.18</v>
      </c>
      <c r="F16" s="14" t="n">
        <v>21.27</v>
      </c>
      <c r="G16" s="15">
        <f>ABS(E16-F16)</f>
        <v/>
      </c>
    </row>
    <row r="17" ht="20" customHeight="1">
      <c r="A17" s="4" t="n">
        <v>13</v>
      </c>
      <c r="B17" s="4" t="n">
        <v>32.9</v>
      </c>
      <c r="C17" s="4" t="n">
        <v>22</v>
      </c>
      <c r="D17" s="4" t="n">
        <v>113</v>
      </c>
      <c r="E17" s="12" t="n">
        <v>6.49</v>
      </c>
      <c r="F17" s="12" t="n">
        <v>6.51</v>
      </c>
      <c r="G17" s="13">
        <f>ABS(E17-F17)</f>
        <v/>
      </c>
    </row>
    <row r="18" ht="20" customHeight="1">
      <c r="A18" s="8" t="n">
        <v>14</v>
      </c>
      <c r="B18" s="8" t="n">
        <v>29.5</v>
      </c>
      <c r="C18" s="8" t="n">
        <v>-32.9</v>
      </c>
      <c r="D18" s="8" t="n">
        <v>24</v>
      </c>
      <c r="E18" s="14" t="n">
        <v>3.87</v>
      </c>
      <c r="F18" s="14" t="n">
        <v>3.94</v>
      </c>
      <c r="G18" s="15">
        <f>ABS(E18-F18)</f>
        <v/>
      </c>
    </row>
    <row r="19" ht="20" customHeight="1">
      <c r="A19" s="4" t="n">
        <v>15</v>
      </c>
      <c r="B19" s="4" t="n">
        <v>-31.8</v>
      </c>
      <c r="C19" s="4" t="n">
        <v>-14</v>
      </c>
      <c r="D19" s="4" t="n">
        <v>47</v>
      </c>
      <c r="E19" s="12" t="n">
        <v>4.99</v>
      </c>
      <c r="F19" s="12" t="n">
        <v>5.05</v>
      </c>
      <c r="G19" s="13">
        <f>ABS(E19-F19)</f>
        <v/>
      </c>
    </row>
    <row r="20" ht="20" customHeight="1">
      <c r="A20" s="8" t="n">
        <v>16</v>
      </c>
      <c r="B20" s="8" t="n">
        <v>-10</v>
      </c>
      <c r="C20" s="8" t="n">
        <v>-17.5</v>
      </c>
      <c r="D20" s="8" t="n">
        <v>66</v>
      </c>
      <c r="E20" s="14" t="n">
        <v>11.68</v>
      </c>
      <c r="F20" s="14" t="n">
        <v>11.64</v>
      </c>
      <c r="G20" s="15">
        <f>ABS(E20-F20)</f>
        <v/>
      </c>
    </row>
    <row r="21" ht="20" customHeight="1">
      <c r="A21" s="4" t="n">
        <v>17</v>
      </c>
      <c r="B21" s="4" t="n">
        <v>-25.1</v>
      </c>
      <c r="C21" s="4" t="n">
        <v>24.2</v>
      </c>
      <c r="D21" s="4" t="n">
        <v>10</v>
      </c>
      <c r="E21" s="12" t="n">
        <v>5.23</v>
      </c>
      <c r="F21" s="12" t="n">
        <v>5.28</v>
      </c>
      <c r="G21" s="13">
        <f>ABS(E21-F21)</f>
        <v/>
      </c>
    </row>
    <row r="22" ht="20" customHeight="1">
      <c r="A22" s="8" t="n">
        <v>18</v>
      </c>
      <c r="B22" s="8" t="n">
        <v>16</v>
      </c>
      <c r="C22" s="8" t="n">
        <v>21.7</v>
      </c>
      <c r="D22" s="8" t="n">
        <v>10</v>
      </c>
      <c r="E22" s="14" t="n">
        <v>12.19</v>
      </c>
      <c r="F22" s="14" t="n">
        <v>12.26</v>
      </c>
      <c r="G22" s="15">
        <f>ABS(E22-F22)</f>
        <v/>
      </c>
    </row>
    <row r="23" ht="20" customHeight="1">
      <c r="A23" s="4" t="n">
        <v>19</v>
      </c>
      <c r="B23" s="4" t="n">
        <v>-9.9</v>
      </c>
      <c r="C23" s="4" t="n">
        <v>-30.7</v>
      </c>
      <c r="D23" s="4" t="n">
        <v>104</v>
      </c>
      <c r="E23" s="12" t="n">
        <v>12.63</v>
      </c>
      <c r="F23" s="12" t="n">
        <v>12.51</v>
      </c>
      <c r="G23" s="13">
        <f>ABS(E23-F23)</f>
        <v/>
      </c>
    </row>
    <row r="24" ht="20" customHeight="1">
      <c r="A24" s="8" t="n">
        <v>20</v>
      </c>
      <c r="B24" s="8" t="n">
        <v>-30.6</v>
      </c>
      <c r="C24" s="8" t="n">
        <v>-15.1</v>
      </c>
      <c r="D24" s="8" t="n">
        <v>40</v>
      </c>
      <c r="E24" s="14" t="n">
        <v>4.93</v>
      </c>
      <c r="F24" s="14" t="n">
        <v>5.02</v>
      </c>
      <c r="G24" s="15">
        <f>ABS(E24-F24)</f>
        <v/>
      </c>
    </row>
    <row r="25" ht="20" customHeight="1">
      <c r="A25" s="4" t="n">
        <v>21</v>
      </c>
      <c r="B25" s="4" t="n">
        <v>16.1</v>
      </c>
      <c r="C25" s="4" t="n">
        <v>11</v>
      </c>
      <c r="D25" s="4" t="n">
        <v>107</v>
      </c>
      <c r="E25" s="12" t="n">
        <v>19.43</v>
      </c>
      <c r="F25" s="12" t="n">
        <v>19.35</v>
      </c>
      <c r="G25" s="13">
        <f>ABS(E25-F25)</f>
        <v/>
      </c>
    </row>
    <row r="26" ht="20" customHeight="1">
      <c r="A26" s="8" t="n">
        <v>22</v>
      </c>
      <c r="B26" s="8" t="n">
        <v>14.9</v>
      </c>
      <c r="C26" s="8" t="n">
        <v>20.9</v>
      </c>
      <c r="D26" s="8" t="n">
        <v>68</v>
      </c>
      <c r="E26" s="14" t="n">
        <v>20.5</v>
      </c>
      <c r="F26" s="14" t="n">
        <v>20.49</v>
      </c>
      <c r="G26" s="15">
        <f>ABS(E26-F26)</f>
        <v/>
      </c>
    </row>
    <row r="27" ht="20" customHeight="1">
      <c r="A27" s="4" t="n">
        <v>23</v>
      </c>
      <c r="B27" s="4" t="n">
        <v>19</v>
      </c>
      <c r="C27" s="4" t="n">
        <v>-0.5</v>
      </c>
      <c r="D27" s="4" t="n">
        <v>63</v>
      </c>
      <c r="E27" s="12" t="n">
        <v>12.32</v>
      </c>
      <c r="F27" s="12" t="n">
        <v>12.29</v>
      </c>
      <c r="G27" s="13">
        <f>ABS(E27-F27)</f>
        <v/>
      </c>
    </row>
    <row r="28" ht="20" customHeight="1">
      <c r="A28" s="8" t="n">
        <v>24</v>
      </c>
      <c r="B28" s="8" t="n">
        <v>-27.4</v>
      </c>
      <c r="C28" s="8" t="n">
        <v>-37.5</v>
      </c>
      <c r="D28" s="8" t="n">
        <v>77</v>
      </c>
      <c r="E28" s="14" t="n">
        <v>7.14</v>
      </c>
      <c r="F28" s="14" t="n">
        <v>7.14</v>
      </c>
      <c r="G28" s="15">
        <f>ABS(E28-F28)</f>
        <v/>
      </c>
    </row>
    <row r="29" ht="20" customHeight="1">
      <c r="A29" s="4" t="n">
        <v>25</v>
      </c>
      <c r="B29" s="4" t="n">
        <v>-13</v>
      </c>
      <c r="C29" s="4" t="n">
        <v>0.7</v>
      </c>
      <c r="D29" s="4" t="n">
        <v>109</v>
      </c>
      <c r="E29" s="12" t="n">
        <v>18.29</v>
      </c>
      <c r="F29" s="12" t="n">
        <v>18.25</v>
      </c>
      <c r="G29" s="13">
        <f>ABS(E29-F29)</f>
        <v/>
      </c>
    </row>
    <row r="30" ht="20" customHeight="1">
      <c r="A30" s="8" t="n">
        <v>26</v>
      </c>
      <c r="B30" s="8" t="n">
        <v>17.9</v>
      </c>
      <c r="C30" s="8" t="n">
        <v>-21.7</v>
      </c>
      <c r="D30" s="8" t="n">
        <v>10</v>
      </c>
      <c r="E30" s="14" t="n">
        <v>3.1</v>
      </c>
      <c r="F30" s="14" t="n">
        <v>2.98</v>
      </c>
      <c r="G30" s="15">
        <f>ABS(E30-F30)</f>
        <v/>
      </c>
    </row>
    <row r="31" ht="20" customHeight="1">
      <c r="A31" s="4" t="n">
        <v>27</v>
      </c>
      <c r="B31" s="4" t="n">
        <v>-14.7</v>
      </c>
      <c r="C31" s="4" t="n">
        <v>-27.1</v>
      </c>
      <c r="D31" s="4" t="n">
        <v>112</v>
      </c>
      <c r="E31" s="12" t="n">
        <v>11.58</v>
      </c>
      <c r="F31" s="12" t="n">
        <v>11.62</v>
      </c>
      <c r="G31" s="13">
        <f>ABS(E31-F31)</f>
        <v/>
      </c>
    </row>
    <row r="32" ht="20" customHeight="1">
      <c r="A32" s="8" t="n">
        <v>28</v>
      </c>
      <c r="B32" s="8" t="n">
        <v>26</v>
      </c>
      <c r="C32" s="8" t="n">
        <v>24.3</v>
      </c>
      <c r="D32" s="8" t="n">
        <v>23</v>
      </c>
      <c r="E32" s="14" t="n">
        <v>6.84</v>
      </c>
      <c r="F32" s="14" t="n">
        <v>6.93</v>
      </c>
      <c r="G32" s="15">
        <f>ABS(E32-F32)</f>
        <v/>
      </c>
    </row>
    <row r="33" ht="20" customHeight="1">
      <c r="A33" s="4" t="n">
        <v>29</v>
      </c>
      <c r="B33" s="4" t="n">
        <v>27.5</v>
      </c>
      <c r="C33" s="4" t="n">
        <v>3.1</v>
      </c>
      <c r="D33" s="4" t="n">
        <v>97</v>
      </c>
      <c r="E33" s="12" t="n">
        <v>8.67</v>
      </c>
      <c r="F33" s="12" t="n">
        <v>8.65</v>
      </c>
      <c r="G33" s="13">
        <f>ABS(E33-F33)</f>
        <v/>
      </c>
    </row>
    <row r="34" ht="20" customHeight="1">
      <c r="A34" s="8" t="n">
        <v>30</v>
      </c>
      <c r="B34" s="8" t="n">
        <v>-27.3</v>
      </c>
      <c r="C34" s="8" t="n">
        <v>-21.8</v>
      </c>
      <c r="D34" s="8" t="n">
        <v>52</v>
      </c>
      <c r="E34" s="14" t="n">
        <v>6.4</v>
      </c>
      <c r="F34" s="14" t="n">
        <v>6.45</v>
      </c>
      <c r="G34" s="15">
        <f>ABS(E34-F34)</f>
        <v/>
      </c>
    </row>
    <row r="35" ht="20" customHeight="1">
      <c r="A35" s="4" t="n">
        <v>31</v>
      </c>
      <c r="B35" s="4" t="n">
        <v>22.3</v>
      </c>
      <c r="C35" s="4" t="n">
        <v>28.9</v>
      </c>
      <c r="D35" s="4" t="n">
        <v>2</v>
      </c>
      <c r="E35" s="12" t="n">
        <v>4.86</v>
      </c>
      <c r="F35" s="12" t="n">
        <v>4.65</v>
      </c>
      <c r="G35" s="13">
        <f>ABS(E35-F35)</f>
        <v/>
      </c>
    </row>
    <row r="36" ht="20" customHeight="1">
      <c r="A36" s="8" t="n">
        <v>32</v>
      </c>
      <c r="B36" s="8" t="n">
        <v>-19.5</v>
      </c>
      <c r="C36" s="8" t="n">
        <v>-30.4</v>
      </c>
      <c r="D36" s="8" t="n">
        <v>41</v>
      </c>
      <c r="E36" s="14" t="n">
        <v>7.75</v>
      </c>
      <c r="F36" s="14" t="n">
        <v>7.78</v>
      </c>
      <c r="G36" s="15">
        <f>ABS(E36-F36)</f>
        <v/>
      </c>
    </row>
    <row r="37" ht="20" customHeight="1">
      <c r="A37" s="4" t="n">
        <v>33</v>
      </c>
      <c r="B37" s="4" t="n">
        <v>31</v>
      </c>
      <c r="C37" s="4" t="n">
        <v>-14.1</v>
      </c>
      <c r="D37" s="4" t="n">
        <v>63</v>
      </c>
      <c r="E37" s="12" t="n">
        <v>5.76</v>
      </c>
      <c r="F37" s="12" t="n">
        <v>5.68</v>
      </c>
      <c r="G37" s="13">
        <f>ABS(E37-F37)</f>
        <v/>
      </c>
    </row>
    <row r="38" ht="20" customHeight="1">
      <c r="A38" s="8" t="n">
        <v>34</v>
      </c>
      <c r="B38" s="8" t="n">
        <v>33</v>
      </c>
      <c r="C38" s="8" t="n">
        <v>37</v>
      </c>
      <c r="D38" s="8" t="n">
        <v>31</v>
      </c>
      <c r="E38" s="14" t="n">
        <v>4.49</v>
      </c>
      <c r="F38" s="14" t="n">
        <v>4.6</v>
      </c>
      <c r="G38" s="15">
        <f>ABS(E38-F38)</f>
        <v/>
      </c>
    </row>
    <row r="39" ht="20" customHeight="1">
      <c r="A39" s="4" t="n">
        <v>35</v>
      </c>
      <c r="B39" s="4" t="n">
        <v>-0.2</v>
      </c>
      <c r="C39" s="4" t="n">
        <v>-15.9</v>
      </c>
      <c r="D39" s="4" t="n">
        <v>35</v>
      </c>
      <c r="E39" s="12" t="n">
        <v>9.970000000000001</v>
      </c>
      <c r="F39" s="12" t="n">
        <v>9.98</v>
      </c>
      <c r="G39" s="13">
        <f>ABS(E39-F39)</f>
        <v/>
      </c>
    </row>
    <row r="40" ht="20" customHeight="1">
      <c r="A40" s="8" t="n">
        <v>36</v>
      </c>
      <c r="B40" s="8" t="n">
        <v>0.2</v>
      </c>
      <c r="C40" s="8" t="n">
        <v>-35.9</v>
      </c>
      <c r="D40" s="8" t="n">
        <v>34</v>
      </c>
      <c r="E40" s="14" t="n">
        <v>9.56</v>
      </c>
      <c r="F40" s="14" t="n">
        <v>9.529999999999999</v>
      </c>
      <c r="G40" s="15">
        <f>ABS(E40-F40)</f>
        <v/>
      </c>
    </row>
    <row r="41" ht="20" customHeight="1">
      <c r="A41" s="4" t="n">
        <v>37</v>
      </c>
      <c r="B41" s="4" t="n">
        <v>28.6</v>
      </c>
      <c r="C41" s="4" t="n">
        <v>-20.8</v>
      </c>
      <c r="D41" s="4" t="n">
        <v>18</v>
      </c>
      <c r="E41" s="12" t="n">
        <v>3.31</v>
      </c>
      <c r="F41" s="12" t="n">
        <v>3.34</v>
      </c>
      <c r="G41" s="13">
        <f>ABS(E41-F41)</f>
        <v/>
      </c>
    </row>
    <row r="42" ht="20" customHeight="1">
      <c r="A42" s="8" t="n">
        <v>38</v>
      </c>
      <c r="B42" s="8" t="n">
        <v>-18.1</v>
      </c>
      <c r="C42" s="8" t="n">
        <v>13.8</v>
      </c>
      <c r="D42" s="8" t="n">
        <v>92</v>
      </c>
      <c r="E42" s="14" t="n">
        <v>17.32</v>
      </c>
      <c r="F42" s="14" t="n">
        <v>17.32</v>
      </c>
      <c r="G42" s="15">
        <f>ABS(E42-F42)</f>
        <v/>
      </c>
    </row>
    <row r="43" ht="20" customHeight="1">
      <c r="A43" s="4" t="n">
        <v>39</v>
      </c>
      <c r="B43" s="4" t="n">
        <v>-18.4</v>
      </c>
      <c r="C43" s="4" t="n">
        <v>18.3</v>
      </c>
      <c r="D43" s="4" t="n">
        <v>45</v>
      </c>
      <c r="E43" s="12" t="n">
        <v>15.25</v>
      </c>
      <c r="F43" s="12" t="n">
        <v>15.36</v>
      </c>
      <c r="G43" s="13">
        <f>ABS(E43-F43)</f>
        <v/>
      </c>
    </row>
    <row r="44" ht="20" customHeight="1">
      <c r="A44" s="8" t="n">
        <v>40</v>
      </c>
      <c r="B44" s="8" t="n">
        <v>2.5</v>
      </c>
      <c r="C44" s="8" t="n">
        <v>-32.8</v>
      </c>
      <c r="D44" s="8" t="n">
        <v>100</v>
      </c>
      <c r="E44" s="14" t="n">
        <v>13.53</v>
      </c>
      <c r="F44" s="14" t="n">
        <v>13.64</v>
      </c>
      <c r="G44" s="15">
        <f>ABS(E44-F44)</f>
        <v/>
      </c>
    </row>
    <row r="45" ht="20" customHeight="1">
      <c r="A45" s="4" t="n">
        <v>41</v>
      </c>
      <c r="B45" s="4" t="n">
        <v>-12.5</v>
      </c>
      <c r="C45" s="4" t="n">
        <v>-25.1</v>
      </c>
      <c r="D45" s="4" t="n">
        <v>6</v>
      </c>
      <c r="E45" s="12" t="n">
        <v>2.26</v>
      </c>
      <c r="F45" s="12" t="n">
        <v>2.4</v>
      </c>
      <c r="G45" s="13">
        <f>ABS(E45-F45)</f>
        <v/>
      </c>
    </row>
    <row r="46" ht="20" customHeight="1">
      <c r="A46" s="8" t="n">
        <v>42</v>
      </c>
      <c r="B46" s="8" t="n">
        <v>-33.8</v>
      </c>
      <c r="C46" s="8" t="n">
        <v>1</v>
      </c>
      <c r="D46" s="8" t="n">
        <v>28</v>
      </c>
      <c r="E46" s="14" t="n">
        <v>3.75</v>
      </c>
      <c r="F46" s="14" t="n">
        <v>3.82</v>
      </c>
      <c r="G46" s="15">
        <f>ABS(E46-F46)</f>
        <v/>
      </c>
    </row>
    <row r="47" ht="20" customHeight="1">
      <c r="A47" s="4" t="n">
        <v>43</v>
      </c>
      <c r="B47" s="4" t="n">
        <v>10.2</v>
      </c>
      <c r="C47" s="4" t="n">
        <v>-26.1</v>
      </c>
      <c r="D47" s="4" t="n">
        <v>83</v>
      </c>
      <c r="E47" s="12" t="n">
        <v>12.16</v>
      </c>
      <c r="F47" s="12" t="n">
        <v>12.21</v>
      </c>
      <c r="G47" s="13">
        <f>ABS(E47-F47)</f>
        <v/>
      </c>
    </row>
    <row r="48" ht="20" customHeight="1">
      <c r="A48" s="8" t="n">
        <v>44</v>
      </c>
      <c r="B48" s="8" t="n">
        <v>-25.4</v>
      </c>
      <c r="C48" s="8" t="n">
        <v>-12.7</v>
      </c>
      <c r="D48" s="8" t="n">
        <v>15</v>
      </c>
      <c r="E48" s="14" t="n">
        <v>3.41</v>
      </c>
      <c r="F48" s="14" t="n">
        <v>3.4</v>
      </c>
      <c r="G48" s="15">
        <f>ABS(E48-F48)</f>
        <v/>
      </c>
    </row>
    <row r="49" ht="20" customHeight="1">
      <c r="A49" s="4" t="n">
        <v>45</v>
      </c>
      <c r="B49" s="4" t="n">
        <v>29.7</v>
      </c>
      <c r="C49" s="4" t="n">
        <v>30.2</v>
      </c>
      <c r="D49" s="4" t="n">
        <v>32</v>
      </c>
      <c r="E49" s="12" t="n">
        <v>5.86</v>
      </c>
      <c r="F49" s="12" t="n">
        <v>5.94</v>
      </c>
      <c r="G49" s="13">
        <f>ABS(E49-F49)</f>
        <v/>
      </c>
    </row>
    <row r="50" ht="20" customHeight="1">
      <c r="A50" s="8" t="n">
        <v>46</v>
      </c>
      <c r="B50" s="8" t="n">
        <v>3.9</v>
      </c>
      <c r="C50" s="8" t="n">
        <v>2.4</v>
      </c>
      <c r="D50" s="8" t="n">
        <v>30</v>
      </c>
      <c r="E50" s="14" t="n">
        <v>20.66</v>
      </c>
      <c r="F50" s="14" t="n">
        <v>20.7</v>
      </c>
      <c r="G50" s="15">
        <f>ABS(E50-F50)</f>
        <v/>
      </c>
    </row>
    <row r="51" ht="20" customHeight="1">
      <c r="A51" s="4" t="n">
        <v>47</v>
      </c>
      <c r="B51" s="4" t="n">
        <v>-28.5</v>
      </c>
      <c r="C51" s="4" t="n">
        <v>31.8</v>
      </c>
      <c r="D51" s="4" t="n">
        <v>108</v>
      </c>
      <c r="E51" s="12" t="n">
        <v>8.77</v>
      </c>
      <c r="F51" s="12" t="n">
        <v>8.65</v>
      </c>
      <c r="G51" s="13">
        <f>ABS(E51-F51)</f>
        <v/>
      </c>
    </row>
    <row r="52" ht="20" customHeight="1">
      <c r="A52" s="8" t="n">
        <v>48</v>
      </c>
      <c r="B52" s="8" t="n">
        <v>-10.6</v>
      </c>
      <c r="C52" s="8" t="n">
        <v>18.1</v>
      </c>
      <c r="D52" s="8" t="n">
        <v>108</v>
      </c>
      <c r="E52" s="14" t="n">
        <v>26.38</v>
      </c>
      <c r="F52" s="14" t="n">
        <v>26.48</v>
      </c>
      <c r="G52" s="15">
        <f>ABS(E52-F52)</f>
        <v/>
      </c>
    </row>
    <row r="53" ht="20" customHeight="1">
      <c r="A53" s="4" t="n">
        <v>49</v>
      </c>
      <c r="B53" s="4" t="n">
        <v>27.1</v>
      </c>
      <c r="C53" s="4" t="n">
        <v>22.4</v>
      </c>
      <c r="D53" s="4" t="n">
        <v>77</v>
      </c>
      <c r="E53" s="12" t="n">
        <v>9.279999999999999</v>
      </c>
      <c r="F53" s="12" t="n">
        <v>9.300000000000001</v>
      </c>
      <c r="G53" s="13">
        <f>ABS(E53-F53)</f>
        <v/>
      </c>
    </row>
    <row r="54" ht="20" customHeight="1">
      <c r="A54" s="8" t="n">
        <v>50</v>
      </c>
      <c r="B54" s="8" t="n">
        <v>-34.4</v>
      </c>
      <c r="C54" s="8" t="n">
        <v>-31.9</v>
      </c>
      <c r="D54" s="8" t="n">
        <v>80</v>
      </c>
      <c r="E54" s="14" t="n">
        <v>5.09</v>
      </c>
      <c r="F54" s="14" t="n">
        <v>5.16</v>
      </c>
      <c r="G54" s="15">
        <f>ABS(E54-F54)</f>
        <v/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2026-10-15T05:16:14Z</dcterms:created>
  <dcterms:modified xmlns:dcterms="http://purl.org/dc/terms/" xmlns:xsi="http://www.w3.org/2001/XMLSchema-instance" xsi:type="dcterms:W3CDTF">2026-10-15T05:16:14Z</dcterms:modified>
</cp:coreProperties>
</file>