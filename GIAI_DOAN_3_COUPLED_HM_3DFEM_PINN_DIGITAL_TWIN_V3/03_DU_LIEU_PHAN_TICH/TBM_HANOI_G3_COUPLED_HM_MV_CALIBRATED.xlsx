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ham_Dinh_mv_Dia_Chat" sheetId="1" state="visible" r:id="rId1"/>
    <sheet xmlns:r="http://schemas.openxmlformats.org/officeDocument/2006/relationships" name="02_Trac_Ngang_Lun_Hieu_Chi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000"/>
  </numFmts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FFFFFF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2" customHeight="1">
      <c r="A1" s="1" t="inlineStr">
        <is>
          <t>BẢNG RÀ SOÁT &amp; ĐỐI CHỨNG HỆ SỐ NÉN LÚN THỂ TÍCH mv THEO ĐỊA TẦNG HỐ KHOAN BH12 &amp; S9–S10</t>
        </is>
      </c>
    </row>
    <row r="2" ht="26" customHeight="1">
      <c r="A2" s="2" t="inlineStr">
        <is>
          <t>Mã lớp</t>
        </is>
      </c>
      <c r="B2" s="2" t="inlineStr">
        <is>
          <t>Hố khoan / Đoạn</t>
        </is>
      </c>
      <c r="C2" s="2" t="inlineStr">
        <is>
          <t>Tên lớp đất địa kỹ thuật</t>
        </is>
      </c>
      <c r="D2" s="2" t="inlineStr">
        <is>
          <t>Ký hiệu USCS</t>
        </is>
      </c>
      <c r="E2" s="2" t="inlineStr">
        <is>
          <t>Chiều dày H (m)</t>
        </is>
      </c>
      <c r="F2" s="2" t="inlineStr">
        <is>
          <t>Mô-đun E (kPa)</t>
        </is>
      </c>
      <c r="G2" s="2" t="inlineStr">
        <is>
          <t>Hệ số Poisson nu</t>
        </is>
      </c>
      <c r="H2" s="2" t="inlineStr">
        <is>
          <t>Công thức E_oed (kPa)</t>
        </is>
      </c>
      <c r="I2" s="2" t="inlineStr">
        <is>
          <t>Giá trị E_oed (kPa)</t>
        </is>
      </c>
      <c r="J2" s="2" t="inlineStr">
        <is>
          <t>Công thức mv (kPa^-1)</t>
        </is>
      </c>
      <c r="K2" s="2" t="inlineStr">
        <is>
          <t>Giá trị mv chuẩn (kPa^-1)</t>
        </is>
      </c>
      <c r="L2" s="2" t="inlineStr">
        <is>
          <t>Dải mv tiêu chuẩn (kPa^-1)</t>
        </is>
      </c>
      <c r="M2" s="2" t="inlineStr">
        <is>
          <t>Đánh giá hợp lý địa chất</t>
        </is>
      </c>
    </row>
    <row r="3">
      <c r="A3" s="3" t="inlineStr">
        <is>
          <t>BH12_L1</t>
        </is>
      </c>
      <c r="B3" s="4" t="inlineStr">
        <is>
          <t>BH12 (S11-S12)</t>
        </is>
      </c>
      <c r="C3" s="4" t="inlineStr">
        <is>
          <t>Lớp 1: Đất lấp (Filling soil: sét pha lẫn gạch vỡ, cát đầm chặt)</t>
        </is>
      </c>
      <c r="D3" s="5" t="inlineStr">
        <is>
          <t>Fill</t>
        </is>
      </c>
      <c r="E3" s="6" t="n">
        <v>2</v>
      </c>
      <c r="F3" s="7" t="n">
        <v>9250</v>
      </c>
      <c r="G3" s="6" t="n">
        <v>0.41</v>
      </c>
      <c r="H3" s="8">
        <f>F3*(1-G3)/((1+G3)*(1-2*G3))</f>
        <v/>
      </c>
      <c r="I3" s="8" t="n">
        <v>21503.15</v>
      </c>
      <c r="J3" s="9">
        <f>1/H3</f>
        <v/>
      </c>
      <c r="K3" s="9" t="n">
        <v>4.65e-05</v>
      </c>
      <c r="L3" s="5" t="inlineStr">
        <is>
          <t>[0.00003 ; 0.00030]</t>
        </is>
      </c>
      <c r="M3" s="10" t="inlineStr">
        <is>
          <t>ĐẠT CHUẨN ĐỊA CHẤT</t>
        </is>
      </c>
    </row>
    <row r="4">
      <c r="A4" s="3" t="inlineStr">
        <is>
          <t>BH12_L2</t>
        </is>
      </c>
      <c r="B4" s="4" t="inlineStr">
        <is>
          <t>BH12 (S11-S12)</t>
        </is>
      </c>
      <c r="C4" s="4" t="inlineStr">
        <is>
          <t>Lớp 2: Sét pha trạng thái dẻo cứng đến cứng (Stiff to very stiff clay)</t>
        </is>
      </c>
      <c r="D4" s="5" t="inlineStr">
        <is>
          <t>CL</t>
        </is>
      </c>
      <c r="E4" s="6" t="n">
        <v>10.3</v>
      </c>
      <c r="F4" s="7" t="n">
        <v>15300</v>
      </c>
      <c r="G4" s="6" t="n">
        <v>0.38</v>
      </c>
      <c r="H4" s="8">
        <f>F4*(1-G4)/((1+G4)*(1-2*G4))</f>
        <v/>
      </c>
      <c r="I4" s="8" t="n">
        <v>28641.3</v>
      </c>
      <c r="J4" s="9">
        <f>1/H4</f>
        <v/>
      </c>
      <c r="K4" s="9" t="n">
        <v>3.491e-05</v>
      </c>
      <c r="L4" s="5" t="inlineStr">
        <is>
          <t>[0.00003 ; 0.00013]</t>
        </is>
      </c>
      <c r="M4" s="10" t="inlineStr">
        <is>
          <t>ĐẠT CHUẨN ĐỊA CHẤT</t>
        </is>
      </c>
    </row>
    <row r="5">
      <c r="A5" s="3" t="inlineStr">
        <is>
          <t>BH12_L3</t>
        </is>
      </c>
      <c r="B5" s="4" t="inlineStr">
        <is>
          <t>BH12 (S11-S12)</t>
        </is>
      </c>
      <c r="C5" s="4" t="inlineStr">
        <is>
          <t>Lớp 3: Bùn sét mềm hữu cơ (Soft organic clay)</t>
        </is>
      </c>
      <c r="D5" s="5" t="inlineStr">
        <is>
          <t>CL-OL / CH</t>
        </is>
      </c>
      <c r="E5" s="6" t="n">
        <v>12.7</v>
      </c>
      <c r="F5" s="7" t="n">
        <v>7680</v>
      </c>
      <c r="G5" s="6" t="n">
        <v>0.35</v>
      </c>
      <c r="H5" s="8">
        <f>F5*(1-G5)/((1+G5)*(1-2*G5))</f>
        <v/>
      </c>
      <c r="I5" s="8" t="n">
        <v>12325.93</v>
      </c>
      <c r="J5" s="9">
        <f>1/H5</f>
        <v/>
      </c>
      <c r="K5" s="9" t="n">
        <v>8.113e-05</v>
      </c>
      <c r="L5" s="5" t="inlineStr">
        <is>
          <t>[0.00005 ; 0.00025]</t>
        </is>
      </c>
      <c r="M5" s="10" t="inlineStr">
        <is>
          <t>ĐẠT CHUẨN ĐỊA CHẤT</t>
        </is>
      </c>
    </row>
    <row r="6">
      <c r="A6" s="3" t="inlineStr">
        <is>
          <t>BH12_L4</t>
        </is>
      </c>
      <c r="B6" s="4" t="inlineStr">
        <is>
          <t>BH12 (S11-S12)</t>
        </is>
      </c>
      <c r="C6" s="4" t="inlineStr">
        <is>
          <t>Lớp 4: Cát pha bụi chặt vừa (Medium dense silty sand)</t>
        </is>
      </c>
      <c r="D6" s="5" t="inlineStr">
        <is>
          <t>SM-SC</t>
        </is>
      </c>
      <c r="E6" s="6" t="n">
        <v>11.9</v>
      </c>
      <c r="F6" s="7" t="n">
        <v>35020</v>
      </c>
      <c r="G6" s="6" t="n">
        <v>0.33</v>
      </c>
      <c r="H6" s="8">
        <f>F6*(1-G6)/((1+G6)*(1-2*G6))</f>
        <v/>
      </c>
      <c r="I6" s="8" t="n">
        <v>51887.22</v>
      </c>
      <c r="J6" s="9">
        <f>1/H6</f>
        <v/>
      </c>
      <c r="K6" s="9" t="n">
        <v>1.927e-05</v>
      </c>
      <c r="L6" s="5" t="inlineStr">
        <is>
          <t>[0.00001 ; 0.00005]</t>
        </is>
      </c>
      <c r="M6" s="10" t="inlineStr">
        <is>
          <t>ĐẠT CHUẨN ĐỊA CHẤT</t>
        </is>
      </c>
    </row>
    <row r="7">
      <c r="A7" s="3" t="inlineStr">
        <is>
          <t>S9S10_GU1</t>
        </is>
      </c>
      <c r="B7" s="4" t="inlineStr">
        <is>
          <t>S9-S10 (Kim Mã - Cát Linh)</t>
        </is>
      </c>
      <c r="C7" s="4" t="inlineStr">
        <is>
          <t>GU1: Sét ít dẻo xen kẹp bụi (Lean clay with silt lenses)</t>
        </is>
      </c>
      <c r="D7" s="5" t="inlineStr">
        <is>
          <t>CL; CH</t>
        </is>
      </c>
      <c r="E7" s="6" t="n">
        <v>5.3</v>
      </c>
      <c r="F7" s="7" t="n">
        <v>10000</v>
      </c>
      <c r="G7" s="6" t="n">
        <v>0.36</v>
      </c>
      <c r="H7" s="8">
        <f>F7*(1-G7)/((1+G7)*(1-2*G7))</f>
        <v/>
      </c>
      <c r="I7" s="8" t="n">
        <v>16806.72</v>
      </c>
      <c r="J7" s="9">
        <f>1/H7</f>
        <v/>
      </c>
      <c r="K7" s="9" t="n">
        <v>5.95e-05</v>
      </c>
      <c r="L7" s="5" t="inlineStr">
        <is>
          <t>[0.00004 ; 0.00015]</t>
        </is>
      </c>
      <c r="M7" s="10" t="inlineStr">
        <is>
          <t>ĐẠT CHUẨN ĐỊA CHẤT</t>
        </is>
      </c>
    </row>
    <row r="8">
      <c r="A8" s="3" t="inlineStr">
        <is>
          <t>S9S10_GU34</t>
        </is>
      </c>
      <c r="B8" s="4" t="inlineStr">
        <is>
          <t>S9-S10 (Kim Mã - Cát Linh)</t>
        </is>
      </c>
      <c r="C8" s="4" t="inlineStr">
        <is>
          <t>GU3&amp;4: Sét béo hữu cơ dẻo mềm (Organic fat and elastic clay)</t>
        </is>
      </c>
      <c r="D8" s="5" t="inlineStr">
        <is>
          <t>CH; MH; CL</t>
        </is>
      </c>
      <c r="E8" s="6" t="n">
        <v>7.74</v>
      </c>
      <c r="F8" s="7" t="n">
        <v>7000</v>
      </c>
      <c r="G8" s="6" t="n">
        <v>0.35</v>
      </c>
      <c r="H8" s="8">
        <f>F8*(1-G8)/((1+G8)*(1-2*G8))</f>
        <v/>
      </c>
      <c r="I8" s="8" t="n">
        <v>11234.57</v>
      </c>
      <c r="J8" s="9">
        <f>1/H8</f>
        <v/>
      </c>
      <c r="K8" s="9" t="n">
        <v>8.901e-05</v>
      </c>
      <c r="L8" s="5" t="inlineStr">
        <is>
          <t>[0.00006 ; 0.00025]</t>
        </is>
      </c>
      <c r="M8" s="10" t="inlineStr">
        <is>
          <t>ĐẠT CHUẨN ĐỊA CHẤT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PHÂN TÍCH ĐỐI SÁNH TRẮC NGANG LÚN CỐ KẾT &amp; TỔNG ĐỘ LÚN SAU HIỆU CHỈNH mv (ĐOẠN S11–S12, HỐ KHOAN BH12)</t>
        </is>
      </c>
    </row>
    <row r="2" ht="28" customHeight="1">
      <c r="A2" s="2" t="inlineStr">
        <is>
          <t>STT</t>
        </is>
      </c>
      <c r="B2" s="2" t="inlineStr">
        <is>
          <t>Khoảng cách ngang x (m)</t>
        </is>
      </c>
      <c r="C2" s="2" t="inlineStr">
        <is>
          <t>Hạ mực nước ngầm dh(x) (m)</t>
        </is>
      </c>
      <c r="D2" s="2" t="inlineStr">
        <is>
          <t>Gia tăng ứng suất hữu hiệu dSigma' (kPa)</t>
        </is>
      </c>
      <c r="E2" s="2" t="inlineStr">
        <is>
          <t>Lún cơ học TBM S_tbm(x) (mm)</t>
        </is>
      </c>
      <c r="F2" s="2" t="inlineStr">
        <is>
          <t>Lún cố kết Cũ bị lỗi bậc 10 (mv=4.5e-4) [mm]</t>
        </is>
      </c>
      <c r="G2" s="2" t="inlineStr">
        <is>
          <t>Lún cố kết Nén lại (mv=4.5e-5) [mm]</t>
        </is>
      </c>
      <c r="H2" s="2" t="inlineStr">
        <is>
          <t>Lún cố kết Chuẩn BH12 Thoát nước biên (mv=8.113e-5, alpha=0.558) [mm]</t>
        </is>
      </c>
      <c r="I2" s="2" t="inlineStr">
        <is>
          <t>Lún cố kết Chuẩn BH12 Cận trên toàn tầng (mv=8.113e-5, alpha=1.0) [mm]</t>
        </is>
      </c>
      <c r="J2" s="2" t="inlineStr">
        <is>
          <t>TỔNG ĐỘ LÚN KHUYẾN NGHỊ (S_tbm + S_hydro,BH12_biên) [mm]</t>
        </is>
      </c>
    </row>
    <row r="3">
      <c r="A3" s="4" t="n">
        <v>1</v>
      </c>
      <c r="B3" s="4" t="n">
        <v>-40</v>
      </c>
      <c r="C3" s="4" t="n">
        <v>0.6951000000000001</v>
      </c>
      <c r="D3" s="4" t="n">
        <v>6.819</v>
      </c>
      <c r="E3" s="4" t="n">
        <v>0.14</v>
      </c>
      <c r="F3" s="11" t="n">
        <v>38.97</v>
      </c>
      <c r="G3" s="4" t="n">
        <v>3.9</v>
      </c>
      <c r="H3" s="10" t="n">
        <v>3.92</v>
      </c>
      <c r="I3" s="4" t="n">
        <v>7.03</v>
      </c>
      <c r="J3" s="10" t="n">
        <v>4.06</v>
      </c>
    </row>
    <row r="4">
      <c r="A4" s="4" t="n">
        <v>2</v>
      </c>
      <c r="B4" s="4" t="n">
        <v>-38</v>
      </c>
      <c r="C4" s="4" t="n">
        <v>0.7875</v>
      </c>
      <c r="D4" s="4" t="n">
        <v>7.725</v>
      </c>
      <c r="E4" s="4" t="n">
        <v>0.23</v>
      </c>
      <c r="F4" s="11" t="n">
        <v>44.15</v>
      </c>
      <c r="G4" s="4" t="n">
        <v>4.41</v>
      </c>
      <c r="H4" s="10" t="n">
        <v>4.44</v>
      </c>
      <c r="I4" s="4" t="n">
        <v>7.96</v>
      </c>
      <c r="J4" s="10" t="n">
        <v>4.67</v>
      </c>
    </row>
    <row r="5">
      <c r="A5" s="4" t="n">
        <v>3</v>
      </c>
      <c r="B5" s="4" t="n">
        <v>-36</v>
      </c>
      <c r="C5" s="4" t="n">
        <v>0.8865</v>
      </c>
      <c r="D5" s="4" t="n">
        <v>8.696</v>
      </c>
      <c r="E5" s="4" t="n">
        <v>0.36</v>
      </c>
      <c r="F5" s="11" t="n">
        <v>49.7</v>
      </c>
      <c r="G5" s="4" t="n">
        <v>4.97</v>
      </c>
      <c r="H5" s="10" t="n">
        <v>5</v>
      </c>
      <c r="I5" s="4" t="n">
        <v>8.960000000000001</v>
      </c>
      <c r="J5" s="10" t="n">
        <v>5.36</v>
      </c>
    </row>
    <row r="6">
      <c r="A6" s="4" t="n">
        <v>4</v>
      </c>
      <c r="B6" s="4" t="n">
        <v>-34</v>
      </c>
      <c r="C6" s="4" t="n">
        <v>0.9915</v>
      </c>
      <c r="D6" s="4" t="n">
        <v>9.727</v>
      </c>
      <c r="E6" s="4" t="n">
        <v>0.5600000000000001</v>
      </c>
      <c r="F6" s="11" t="n">
        <v>55.59</v>
      </c>
      <c r="G6" s="4" t="n">
        <v>5.56</v>
      </c>
      <c r="H6" s="10" t="n">
        <v>5.59</v>
      </c>
      <c r="I6" s="4" t="n">
        <v>10.02</v>
      </c>
      <c r="J6" s="10" t="n">
        <v>6.15</v>
      </c>
    </row>
    <row r="7">
      <c r="A7" s="4" t="n">
        <v>5</v>
      </c>
      <c r="B7" s="4" t="n">
        <v>-32</v>
      </c>
      <c r="C7" s="4" t="n">
        <v>1.102</v>
      </c>
      <c r="D7" s="4" t="n">
        <v>10.81</v>
      </c>
      <c r="E7" s="4" t="n">
        <v>0.84</v>
      </c>
      <c r="F7" s="11" t="n">
        <v>61.78</v>
      </c>
      <c r="G7" s="4" t="n">
        <v>6.18</v>
      </c>
      <c r="H7" s="10" t="n">
        <v>6.22</v>
      </c>
      <c r="I7" s="4" t="n">
        <v>11.14</v>
      </c>
      <c r="J7" s="10" t="n">
        <v>7.05</v>
      </c>
    </row>
    <row r="8">
      <c r="A8" s="4" t="n">
        <v>6</v>
      </c>
      <c r="B8" s="4" t="n">
        <v>-30</v>
      </c>
      <c r="C8" s="4" t="n">
        <v>1.2169</v>
      </c>
      <c r="D8" s="4" t="n">
        <v>11.938</v>
      </c>
      <c r="E8" s="4" t="n">
        <v>1.23</v>
      </c>
      <c r="F8" s="11" t="n">
        <v>68.22</v>
      </c>
      <c r="G8" s="4" t="n">
        <v>6.82</v>
      </c>
      <c r="H8" s="10" t="n">
        <v>6.86</v>
      </c>
      <c r="I8" s="4" t="n">
        <v>12.3</v>
      </c>
      <c r="J8" s="10" t="n">
        <v>8.09</v>
      </c>
    </row>
    <row r="9">
      <c r="A9" s="4" t="n">
        <v>7</v>
      </c>
      <c r="B9" s="4" t="n">
        <v>-28</v>
      </c>
      <c r="C9" s="4" t="n">
        <v>1.3352</v>
      </c>
      <c r="D9" s="4" t="n">
        <v>13.098</v>
      </c>
      <c r="E9" s="4" t="n">
        <v>1.75</v>
      </c>
      <c r="F9" s="11" t="n">
        <v>74.86</v>
      </c>
      <c r="G9" s="4" t="n">
        <v>7.49</v>
      </c>
      <c r="H9" s="10" t="n">
        <v>7.53</v>
      </c>
      <c r="I9" s="4" t="n">
        <v>13.5</v>
      </c>
      <c r="J9" s="10" t="n">
        <v>9.279999999999999</v>
      </c>
    </row>
    <row r="10">
      <c r="A10" s="4" t="n">
        <v>8</v>
      </c>
      <c r="B10" s="4" t="n">
        <v>-26</v>
      </c>
      <c r="C10" s="4" t="n">
        <v>1.4557</v>
      </c>
      <c r="D10" s="4" t="n">
        <v>14.28</v>
      </c>
      <c r="E10" s="4" t="n">
        <v>2.45</v>
      </c>
      <c r="F10" s="11" t="n">
        <v>81.61</v>
      </c>
      <c r="G10" s="4" t="n">
        <v>8.16</v>
      </c>
      <c r="H10" s="10" t="n">
        <v>8.210000000000001</v>
      </c>
      <c r="I10" s="4" t="n">
        <v>14.71</v>
      </c>
      <c r="J10" s="10" t="n">
        <v>10.66</v>
      </c>
    </row>
    <row r="11">
      <c r="A11" s="4" t="n">
        <v>9</v>
      </c>
      <c r="B11" s="4" t="n">
        <v>-24</v>
      </c>
      <c r="C11" s="4" t="n">
        <v>1.5769</v>
      </c>
      <c r="D11" s="4" t="n">
        <v>15.47</v>
      </c>
      <c r="E11" s="4" t="n">
        <v>3.33</v>
      </c>
      <c r="F11" s="11" t="n">
        <v>88.41</v>
      </c>
      <c r="G11" s="4" t="n">
        <v>8.84</v>
      </c>
      <c r="H11" s="10" t="n">
        <v>8.890000000000001</v>
      </c>
      <c r="I11" s="4" t="n">
        <v>15.94</v>
      </c>
      <c r="J11" s="10" t="n">
        <v>12.23</v>
      </c>
    </row>
    <row r="12">
      <c r="A12" s="4" t="n">
        <v>10</v>
      </c>
      <c r="B12" s="4" t="n">
        <v>-22</v>
      </c>
      <c r="C12" s="4" t="n">
        <v>1.6974</v>
      </c>
      <c r="D12" s="4" t="n">
        <v>16.651</v>
      </c>
      <c r="E12" s="4" t="n">
        <v>4.43</v>
      </c>
      <c r="F12" s="11" t="n">
        <v>95.16</v>
      </c>
      <c r="G12" s="4" t="n">
        <v>9.52</v>
      </c>
      <c r="H12" s="10" t="n">
        <v>9.57</v>
      </c>
      <c r="I12" s="4" t="n">
        <v>17.16</v>
      </c>
      <c r="J12" s="10" t="n">
        <v>14</v>
      </c>
    </row>
    <row r="13">
      <c r="A13" s="4" t="n">
        <v>11</v>
      </c>
      <c r="B13" s="4" t="n">
        <v>-20</v>
      </c>
      <c r="C13" s="4" t="n">
        <v>1.8154</v>
      </c>
      <c r="D13" s="4" t="n">
        <v>17.809</v>
      </c>
      <c r="E13" s="4" t="n">
        <v>5.74</v>
      </c>
      <c r="F13" s="11" t="n">
        <v>101.78</v>
      </c>
      <c r="G13" s="4" t="n">
        <v>10.18</v>
      </c>
      <c r="H13" s="10" t="n">
        <v>10.24</v>
      </c>
      <c r="I13" s="4" t="n">
        <v>18.35</v>
      </c>
      <c r="J13" s="10" t="n">
        <v>15.97</v>
      </c>
    </row>
    <row r="14">
      <c r="A14" s="4" t="n">
        <v>12</v>
      </c>
      <c r="B14" s="4" t="n">
        <v>-18</v>
      </c>
      <c r="C14" s="4" t="n">
        <v>1.9292</v>
      </c>
      <c r="D14" s="4" t="n">
        <v>18.925</v>
      </c>
      <c r="E14" s="4" t="n">
        <v>7.25</v>
      </c>
      <c r="F14" s="11" t="n">
        <v>108.16</v>
      </c>
      <c r="G14" s="4" t="n">
        <v>10.82</v>
      </c>
      <c r="H14" s="10" t="n">
        <v>10.88</v>
      </c>
      <c r="I14" s="4" t="n">
        <v>19.5</v>
      </c>
      <c r="J14" s="10" t="n">
        <v>18.13</v>
      </c>
    </row>
    <row r="15">
      <c r="A15" s="4" t="n">
        <v>13</v>
      </c>
      <c r="B15" s="4" t="n">
        <v>-16</v>
      </c>
      <c r="C15" s="4" t="n">
        <v>2.037</v>
      </c>
      <c r="D15" s="4" t="n">
        <v>19.983</v>
      </c>
      <c r="E15" s="4" t="n">
        <v>8.94</v>
      </c>
      <c r="F15" s="11" t="n">
        <v>114.2</v>
      </c>
      <c r="G15" s="4" t="n">
        <v>11.42</v>
      </c>
      <c r="H15" s="10" t="n">
        <v>11.49</v>
      </c>
      <c r="I15" s="4" t="n">
        <v>20.59</v>
      </c>
      <c r="J15" s="10" t="n">
        <v>20.43</v>
      </c>
    </row>
    <row r="16">
      <c r="A16" s="4" t="n">
        <v>14</v>
      </c>
      <c r="B16" s="4" t="n">
        <v>-14</v>
      </c>
      <c r="C16" s="4" t="n">
        <v>2.1372</v>
      </c>
      <c r="D16" s="4" t="n">
        <v>20.966</v>
      </c>
      <c r="E16" s="4" t="n">
        <v>10.76</v>
      </c>
      <c r="F16" s="11" t="n">
        <v>119.82</v>
      </c>
      <c r="G16" s="4" t="n">
        <v>11.98</v>
      </c>
      <c r="H16" s="10" t="n">
        <v>12.05</v>
      </c>
      <c r="I16" s="4" t="n">
        <v>21.6</v>
      </c>
      <c r="J16" s="10" t="n">
        <v>22.82</v>
      </c>
    </row>
    <row r="17">
      <c r="A17" s="4" t="n">
        <v>15</v>
      </c>
      <c r="B17" s="4" t="n">
        <v>-12</v>
      </c>
      <c r="C17" s="4" t="n">
        <v>2.228</v>
      </c>
      <c r="D17" s="4" t="n">
        <v>21.856</v>
      </c>
      <c r="E17" s="4" t="n">
        <v>12.63</v>
      </c>
      <c r="F17" s="11" t="n">
        <v>124.91</v>
      </c>
      <c r="G17" s="4" t="n">
        <v>12.49</v>
      </c>
      <c r="H17" s="10" t="n">
        <v>12.57</v>
      </c>
      <c r="I17" s="4" t="n">
        <v>22.52</v>
      </c>
      <c r="J17" s="10" t="n">
        <v>25.2</v>
      </c>
    </row>
    <row r="18">
      <c r="A18" s="4" t="n">
        <v>16</v>
      </c>
      <c r="B18" s="4" t="n">
        <v>-10</v>
      </c>
      <c r="C18" s="4" t="n">
        <v>2.3078</v>
      </c>
      <c r="D18" s="4" t="n">
        <v>22.639</v>
      </c>
      <c r="E18" s="4" t="n">
        <v>14.47</v>
      </c>
      <c r="F18" s="11" t="n">
        <v>129.38</v>
      </c>
      <c r="G18" s="4" t="n">
        <v>12.94</v>
      </c>
      <c r="H18" s="10" t="n">
        <v>13.02</v>
      </c>
      <c r="I18" s="4" t="n">
        <v>23.33</v>
      </c>
      <c r="J18" s="10" t="n">
        <v>27.49</v>
      </c>
    </row>
    <row r="19">
      <c r="A19" s="4" t="n">
        <v>17</v>
      </c>
      <c r="B19" s="4" t="n">
        <v>-8</v>
      </c>
      <c r="C19" s="4" t="n">
        <v>2.3752</v>
      </c>
      <c r="D19" s="4" t="n">
        <v>23.301</v>
      </c>
      <c r="E19" s="4" t="n">
        <v>16.17</v>
      </c>
      <c r="F19" s="11" t="n">
        <v>133.16</v>
      </c>
      <c r="G19" s="4" t="n">
        <v>13.32</v>
      </c>
      <c r="H19" s="10" t="n">
        <v>13.4</v>
      </c>
      <c r="I19" s="4" t="n">
        <v>24.01</v>
      </c>
      <c r="J19" s="10" t="n">
        <v>29.57</v>
      </c>
    </row>
    <row r="20">
      <c r="A20" s="4" t="n">
        <v>18</v>
      </c>
      <c r="B20" s="4" t="n">
        <v>-6</v>
      </c>
      <c r="C20" s="4" t="n">
        <v>2.429</v>
      </c>
      <c r="D20" s="4" t="n">
        <v>23.829</v>
      </c>
      <c r="E20" s="4" t="n">
        <v>17.63</v>
      </c>
      <c r="F20" s="11" t="n">
        <v>136.18</v>
      </c>
      <c r="G20" s="4" t="n">
        <v>13.62</v>
      </c>
      <c r="H20" s="10" t="n">
        <v>13.7</v>
      </c>
      <c r="I20" s="4" t="n">
        <v>24.55</v>
      </c>
      <c r="J20" s="10" t="n">
        <v>31.33</v>
      </c>
    </row>
    <row r="21">
      <c r="A21" s="4" t="n">
        <v>19</v>
      </c>
      <c r="B21" s="4" t="n">
        <v>-4</v>
      </c>
      <c r="C21" s="4" t="n">
        <v>2.4682</v>
      </c>
      <c r="D21" s="4" t="n">
        <v>24.213</v>
      </c>
      <c r="E21" s="4" t="n">
        <v>18.75</v>
      </c>
      <c r="F21" s="11" t="n">
        <v>138.38</v>
      </c>
      <c r="G21" s="4" t="n">
        <v>13.84</v>
      </c>
      <c r="H21" s="10" t="n">
        <v>13.92</v>
      </c>
      <c r="I21" s="4" t="n">
        <v>24.95</v>
      </c>
      <c r="J21" s="10" t="n">
        <v>32.67</v>
      </c>
    </row>
    <row r="22">
      <c r="A22" s="4" t="n">
        <v>20</v>
      </c>
      <c r="B22" s="4" t="n">
        <v>-2</v>
      </c>
      <c r="C22" s="4" t="n">
        <v>2.492</v>
      </c>
      <c r="D22" s="4" t="n">
        <v>24.447</v>
      </c>
      <c r="E22" s="4" t="n">
        <v>19.46</v>
      </c>
      <c r="F22" s="11" t="n">
        <v>139.71</v>
      </c>
      <c r="G22" s="4" t="n">
        <v>13.97</v>
      </c>
      <c r="H22" s="10" t="n">
        <v>14.06</v>
      </c>
      <c r="I22" s="4" t="n">
        <v>25.19</v>
      </c>
      <c r="J22" s="10" t="n">
        <v>33.51</v>
      </c>
    </row>
    <row r="23">
      <c r="A23" s="4" t="n">
        <v>21</v>
      </c>
      <c r="B23" s="4" t="n">
        <v>0</v>
      </c>
      <c r="C23" s="4" t="n">
        <v>2.5</v>
      </c>
      <c r="D23" s="4" t="n">
        <v>24.525</v>
      </c>
      <c r="E23" s="4" t="n">
        <v>19.7</v>
      </c>
      <c r="F23" s="11" t="n">
        <v>140.16</v>
      </c>
      <c r="G23" s="4" t="n">
        <v>14.02</v>
      </c>
      <c r="H23" s="10" t="n">
        <v>14.1</v>
      </c>
      <c r="I23" s="4" t="n">
        <v>25.27</v>
      </c>
      <c r="J23" s="10" t="n">
        <v>33.8</v>
      </c>
    </row>
    <row r="24">
      <c r="A24" s="4" t="n">
        <v>22</v>
      </c>
      <c r="B24" s="4" t="n">
        <v>2</v>
      </c>
      <c r="C24" s="4" t="n">
        <v>2.492</v>
      </c>
      <c r="D24" s="4" t="n">
        <v>24.447</v>
      </c>
      <c r="E24" s="4" t="n">
        <v>19.46</v>
      </c>
      <c r="F24" s="11" t="n">
        <v>139.71</v>
      </c>
      <c r="G24" s="4" t="n">
        <v>13.97</v>
      </c>
      <c r="H24" s="10" t="n">
        <v>14.06</v>
      </c>
      <c r="I24" s="4" t="n">
        <v>25.19</v>
      </c>
      <c r="J24" s="10" t="n">
        <v>33.51</v>
      </c>
    </row>
    <row r="25">
      <c r="A25" s="4" t="n">
        <v>23</v>
      </c>
      <c r="B25" s="4" t="n">
        <v>4</v>
      </c>
      <c r="C25" s="4" t="n">
        <v>2.4682</v>
      </c>
      <c r="D25" s="4" t="n">
        <v>24.213</v>
      </c>
      <c r="E25" s="4" t="n">
        <v>18.75</v>
      </c>
      <c r="F25" s="11" t="n">
        <v>138.38</v>
      </c>
      <c r="G25" s="4" t="n">
        <v>13.84</v>
      </c>
      <c r="H25" s="10" t="n">
        <v>13.92</v>
      </c>
      <c r="I25" s="4" t="n">
        <v>24.95</v>
      </c>
      <c r="J25" s="10" t="n">
        <v>32.67</v>
      </c>
    </row>
    <row r="26">
      <c r="A26" s="4" t="n">
        <v>24</v>
      </c>
      <c r="B26" s="4" t="n">
        <v>6</v>
      </c>
      <c r="C26" s="4" t="n">
        <v>2.429</v>
      </c>
      <c r="D26" s="4" t="n">
        <v>23.829</v>
      </c>
      <c r="E26" s="4" t="n">
        <v>17.63</v>
      </c>
      <c r="F26" s="11" t="n">
        <v>136.18</v>
      </c>
      <c r="G26" s="4" t="n">
        <v>13.62</v>
      </c>
      <c r="H26" s="10" t="n">
        <v>13.7</v>
      </c>
      <c r="I26" s="4" t="n">
        <v>24.55</v>
      </c>
      <c r="J26" s="10" t="n">
        <v>31.33</v>
      </c>
    </row>
    <row r="27">
      <c r="A27" s="4" t="n">
        <v>25</v>
      </c>
      <c r="B27" s="4" t="n">
        <v>8</v>
      </c>
      <c r="C27" s="4" t="n">
        <v>2.3752</v>
      </c>
      <c r="D27" s="4" t="n">
        <v>23.301</v>
      </c>
      <c r="E27" s="4" t="n">
        <v>16.17</v>
      </c>
      <c r="F27" s="11" t="n">
        <v>133.16</v>
      </c>
      <c r="G27" s="4" t="n">
        <v>13.32</v>
      </c>
      <c r="H27" s="10" t="n">
        <v>13.4</v>
      </c>
      <c r="I27" s="4" t="n">
        <v>24.01</v>
      </c>
      <c r="J27" s="10" t="n">
        <v>29.57</v>
      </c>
    </row>
    <row r="28">
      <c r="A28" s="4" t="n">
        <v>26</v>
      </c>
      <c r="B28" s="4" t="n">
        <v>10</v>
      </c>
      <c r="C28" s="4" t="n">
        <v>2.3078</v>
      </c>
      <c r="D28" s="4" t="n">
        <v>22.639</v>
      </c>
      <c r="E28" s="4" t="n">
        <v>14.47</v>
      </c>
      <c r="F28" s="11" t="n">
        <v>129.38</v>
      </c>
      <c r="G28" s="4" t="n">
        <v>12.94</v>
      </c>
      <c r="H28" s="10" t="n">
        <v>13.02</v>
      </c>
      <c r="I28" s="4" t="n">
        <v>23.33</v>
      </c>
      <c r="J28" s="10" t="n">
        <v>27.49</v>
      </c>
    </row>
    <row r="29">
      <c r="A29" s="4" t="n">
        <v>27</v>
      </c>
      <c r="B29" s="4" t="n">
        <v>12</v>
      </c>
      <c r="C29" s="4" t="n">
        <v>2.228</v>
      </c>
      <c r="D29" s="4" t="n">
        <v>21.856</v>
      </c>
      <c r="E29" s="4" t="n">
        <v>12.63</v>
      </c>
      <c r="F29" s="11" t="n">
        <v>124.91</v>
      </c>
      <c r="G29" s="4" t="n">
        <v>12.49</v>
      </c>
      <c r="H29" s="10" t="n">
        <v>12.57</v>
      </c>
      <c r="I29" s="4" t="n">
        <v>22.52</v>
      </c>
      <c r="J29" s="10" t="n">
        <v>25.2</v>
      </c>
    </row>
    <row r="30">
      <c r="A30" s="4" t="n">
        <v>28</v>
      </c>
      <c r="B30" s="4" t="n">
        <v>14</v>
      </c>
      <c r="C30" s="4" t="n">
        <v>2.1372</v>
      </c>
      <c r="D30" s="4" t="n">
        <v>20.966</v>
      </c>
      <c r="E30" s="4" t="n">
        <v>10.76</v>
      </c>
      <c r="F30" s="11" t="n">
        <v>119.82</v>
      </c>
      <c r="G30" s="4" t="n">
        <v>11.98</v>
      </c>
      <c r="H30" s="10" t="n">
        <v>12.05</v>
      </c>
      <c r="I30" s="4" t="n">
        <v>21.6</v>
      </c>
      <c r="J30" s="10" t="n">
        <v>22.82</v>
      </c>
    </row>
    <row r="31">
      <c r="A31" s="4" t="n">
        <v>29</v>
      </c>
      <c r="B31" s="4" t="n">
        <v>16</v>
      </c>
      <c r="C31" s="4" t="n">
        <v>2.037</v>
      </c>
      <c r="D31" s="4" t="n">
        <v>19.983</v>
      </c>
      <c r="E31" s="4" t="n">
        <v>8.94</v>
      </c>
      <c r="F31" s="11" t="n">
        <v>114.2</v>
      </c>
      <c r="G31" s="4" t="n">
        <v>11.42</v>
      </c>
      <c r="H31" s="10" t="n">
        <v>11.49</v>
      </c>
      <c r="I31" s="4" t="n">
        <v>20.59</v>
      </c>
      <c r="J31" s="10" t="n">
        <v>20.43</v>
      </c>
    </row>
    <row r="32">
      <c r="A32" s="4" t="n">
        <v>30</v>
      </c>
      <c r="B32" s="4" t="n">
        <v>18</v>
      </c>
      <c r="C32" s="4" t="n">
        <v>1.9292</v>
      </c>
      <c r="D32" s="4" t="n">
        <v>18.925</v>
      </c>
      <c r="E32" s="4" t="n">
        <v>7.25</v>
      </c>
      <c r="F32" s="11" t="n">
        <v>108.16</v>
      </c>
      <c r="G32" s="4" t="n">
        <v>10.82</v>
      </c>
      <c r="H32" s="10" t="n">
        <v>10.88</v>
      </c>
      <c r="I32" s="4" t="n">
        <v>19.5</v>
      </c>
      <c r="J32" s="10" t="n">
        <v>18.13</v>
      </c>
    </row>
    <row r="33">
      <c r="A33" s="4" t="n">
        <v>31</v>
      </c>
      <c r="B33" s="4" t="n">
        <v>20</v>
      </c>
      <c r="C33" s="4" t="n">
        <v>1.8154</v>
      </c>
      <c r="D33" s="4" t="n">
        <v>17.809</v>
      </c>
      <c r="E33" s="4" t="n">
        <v>5.74</v>
      </c>
      <c r="F33" s="11" t="n">
        <v>101.78</v>
      </c>
      <c r="G33" s="4" t="n">
        <v>10.18</v>
      </c>
      <c r="H33" s="10" t="n">
        <v>10.24</v>
      </c>
      <c r="I33" s="4" t="n">
        <v>18.35</v>
      </c>
      <c r="J33" s="10" t="n">
        <v>15.97</v>
      </c>
    </row>
    <row r="34">
      <c r="A34" s="4" t="n">
        <v>32</v>
      </c>
      <c r="B34" s="4" t="n">
        <v>22</v>
      </c>
      <c r="C34" s="4" t="n">
        <v>1.6974</v>
      </c>
      <c r="D34" s="4" t="n">
        <v>16.651</v>
      </c>
      <c r="E34" s="4" t="n">
        <v>4.43</v>
      </c>
      <c r="F34" s="11" t="n">
        <v>95.16</v>
      </c>
      <c r="G34" s="4" t="n">
        <v>9.52</v>
      </c>
      <c r="H34" s="10" t="n">
        <v>9.57</v>
      </c>
      <c r="I34" s="4" t="n">
        <v>17.16</v>
      </c>
      <c r="J34" s="10" t="n">
        <v>14</v>
      </c>
    </row>
    <row r="35">
      <c r="A35" s="4" t="n">
        <v>33</v>
      </c>
      <c r="B35" s="4" t="n">
        <v>24</v>
      </c>
      <c r="C35" s="4" t="n">
        <v>1.5769</v>
      </c>
      <c r="D35" s="4" t="n">
        <v>15.47</v>
      </c>
      <c r="E35" s="4" t="n">
        <v>3.33</v>
      </c>
      <c r="F35" s="11" t="n">
        <v>88.41</v>
      </c>
      <c r="G35" s="4" t="n">
        <v>8.84</v>
      </c>
      <c r="H35" s="10" t="n">
        <v>8.890000000000001</v>
      </c>
      <c r="I35" s="4" t="n">
        <v>15.94</v>
      </c>
      <c r="J35" s="10" t="n">
        <v>12.23</v>
      </c>
    </row>
    <row r="36">
      <c r="A36" s="4" t="n">
        <v>34</v>
      </c>
      <c r="B36" s="4" t="n">
        <v>26</v>
      </c>
      <c r="C36" s="4" t="n">
        <v>1.4557</v>
      </c>
      <c r="D36" s="4" t="n">
        <v>14.28</v>
      </c>
      <c r="E36" s="4" t="n">
        <v>2.45</v>
      </c>
      <c r="F36" s="11" t="n">
        <v>81.61</v>
      </c>
      <c r="G36" s="4" t="n">
        <v>8.16</v>
      </c>
      <c r="H36" s="10" t="n">
        <v>8.210000000000001</v>
      </c>
      <c r="I36" s="4" t="n">
        <v>14.71</v>
      </c>
      <c r="J36" s="10" t="n">
        <v>10.66</v>
      </c>
    </row>
    <row r="37">
      <c r="A37" s="4" t="n">
        <v>35</v>
      </c>
      <c r="B37" s="4" t="n">
        <v>28</v>
      </c>
      <c r="C37" s="4" t="n">
        <v>1.3352</v>
      </c>
      <c r="D37" s="4" t="n">
        <v>13.098</v>
      </c>
      <c r="E37" s="4" t="n">
        <v>1.75</v>
      </c>
      <c r="F37" s="11" t="n">
        <v>74.86</v>
      </c>
      <c r="G37" s="4" t="n">
        <v>7.49</v>
      </c>
      <c r="H37" s="10" t="n">
        <v>7.53</v>
      </c>
      <c r="I37" s="4" t="n">
        <v>13.5</v>
      </c>
      <c r="J37" s="10" t="n">
        <v>9.279999999999999</v>
      </c>
    </row>
    <row r="38">
      <c r="A38" s="4" t="n">
        <v>36</v>
      </c>
      <c r="B38" s="4" t="n">
        <v>30</v>
      </c>
      <c r="C38" s="4" t="n">
        <v>1.2169</v>
      </c>
      <c r="D38" s="4" t="n">
        <v>11.938</v>
      </c>
      <c r="E38" s="4" t="n">
        <v>1.23</v>
      </c>
      <c r="F38" s="11" t="n">
        <v>68.22</v>
      </c>
      <c r="G38" s="4" t="n">
        <v>6.82</v>
      </c>
      <c r="H38" s="10" t="n">
        <v>6.86</v>
      </c>
      <c r="I38" s="4" t="n">
        <v>12.3</v>
      </c>
      <c r="J38" s="10" t="n">
        <v>8.09</v>
      </c>
    </row>
    <row r="39">
      <c r="A39" s="4" t="n">
        <v>37</v>
      </c>
      <c r="B39" s="4" t="n">
        <v>32</v>
      </c>
      <c r="C39" s="4" t="n">
        <v>1.102</v>
      </c>
      <c r="D39" s="4" t="n">
        <v>10.81</v>
      </c>
      <c r="E39" s="4" t="n">
        <v>0.84</v>
      </c>
      <c r="F39" s="11" t="n">
        <v>61.78</v>
      </c>
      <c r="G39" s="4" t="n">
        <v>6.18</v>
      </c>
      <c r="H39" s="10" t="n">
        <v>6.22</v>
      </c>
      <c r="I39" s="4" t="n">
        <v>11.14</v>
      </c>
      <c r="J39" s="10" t="n">
        <v>7.05</v>
      </c>
    </row>
    <row r="40">
      <c r="A40" s="4" t="n">
        <v>38</v>
      </c>
      <c r="B40" s="4" t="n">
        <v>34</v>
      </c>
      <c r="C40" s="4" t="n">
        <v>0.9915</v>
      </c>
      <c r="D40" s="4" t="n">
        <v>9.727</v>
      </c>
      <c r="E40" s="4" t="n">
        <v>0.5600000000000001</v>
      </c>
      <c r="F40" s="11" t="n">
        <v>55.59</v>
      </c>
      <c r="G40" s="4" t="n">
        <v>5.56</v>
      </c>
      <c r="H40" s="10" t="n">
        <v>5.59</v>
      </c>
      <c r="I40" s="4" t="n">
        <v>10.02</v>
      </c>
      <c r="J40" s="10" t="n">
        <v>6.15</v>
      </c>
    </row>
    <row r="41">
      <c r="A41" s="4" t="n">
        <v>39</v>
      </c>
      <c r="B41" s="4" t="n">
        <v>36</v>
      </c>
      <c r="C41" s="4" t="n">
        <v>0.8865</v>
      </c>
      <c r="D41" s="4" t="n">
        <v>8.696</v>
      </c>
      <c r="E41" s="4" t="n">
        <v>0.36</v>
      </c>
      <c r="F41" s="11" t="n">
        <v>49.7</v>
      </c>
      <c r="G41" s="4" t="n">
        <v>4.97</v>
      </c>
      <c r="H41" s="10" t="n">
        <v>5</v>
      </c>
      <c r="I41" s="4" t="n">
        <v>8.960000000000001</v>
      </c>
      <c r="J41" s="10" t="n">
        <v>5.36</v>
      </c>
    </row>
    <row r="42">
      <c r="A42" s="4" t="n">
        <v>40</v>
      </c>
      <c r="B42" s="4" t="n">
        <v>38</v>
      </c>
      <c r="C42" s="4" t="n">
        <v>0.7875</v>
      </c>
      <c r="D42" s="4" t="n">
        <v>7.725</v>
      </c>
      <c r="E42" s="4" t="n">
        <v>0.23</v>
      </c>
      <c r="F42" s="11" t="n">
        <v>44.15</v>
      </c>
      <c r="G42" s="4" t="n">
        <v>4.41</v>
      </c>
      <c r="H42" s="10" t="n">
        <v>4.44</v>
      </c>
      <c r="I42" s="4" t="n">
        <v>7.96</v>
      </c>
      <c r="J42" s="10" t="n">
        <v>4.67</v>
      </c>
    </row>
    <row r="43">
      <c r="A43" s="4" t="n">
        <v>41</v>
      </c>
      <c r="B43" s="4" t="n">
        <v>40</v>
      </c>
      <c r="C43" s="4" t="n">
        <v>0.6951000000000001</v>
      </c>
      <c r="D43" s="4" t="n">
        <v>6.819</v>
      </c>
      <c r="E43" s="4" t="n">
        <v>0.14</v>
      </c>
      <c r="F43" s="11" t="n">
        <v>38.97</v>
      </c>
      <c r="G43" s="4" t="n">
        <v>3.9</v>
      </c>
      <c r="H43" s="10" t="n">
        <v>3.92</v>
      </c>
      <c r="I43" s="4" t="n">
        <v>7.03</v>
      </c>
      <c r="J43" s="10" t="n">
        <v>4.06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2026-10-24T05:15:08Z</dcterms:created>
  <dcterms:modified xmlns:dcterms="http://purl.org/dc/terms/" xmlns:xsi="http://www.w3.org/2001/XMLSchema-instance" xsi:type="dcterms:W3CDTF">2026-10-24T05:15:08Z</dcterms:modified>
</cp:coreProperties>
</file>