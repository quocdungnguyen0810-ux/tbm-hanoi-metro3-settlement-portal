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c_Luc_Metadata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FEM_vs_Analytical_Benchmar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b val="1"/>
      <color rgb="00FFFFFF"/>
      <sz val="14"/>
    </font>
    <font>
      <name val="Times New Roman"/>
      <i val="1"/>
      <color rgb="00555555"/>
      <sz val="10"/>
    </font>
    <font>
      <name val="Times New Roman"/>
      <b val="1"/>
      <color rgb="00FFFFFF"/>
      <sz val="11"/>
    </font>
    <font>
      <name val="Times New Roman"/>
      <b val="1"/>
      <sz val="11"/>
    </font>
    <font>
      <name val="Times New Roman"/>
      <i val="1"/>
      <sz val="9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4682B4"/>
        <bgColor rgb="004682B4"/>
      </patternFill>
    </fill>
    <fill>
      <patternFill patternType="solid">
        <fgColor rgb="00F4F7FA"/>
        <bgColor rgb="00F4F7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4" fillId="0" borderId="1" pivotButton="0" quotePrefix="0" xfId="0"/>
    <xf numFmtId="0" fontId="0" fillId="0" borderId="1" pivotButton="0" quotePrefix="0" xfId="0"/>
    <xf numFmtId="0" fontId="5" fillId="0" borderId="1" pivotButton="0" quotePrefix="0" xfId="0"/>
    <xf numFmtId="0" fontId="0" fillId="4" borderId="1" applyAlignment="1" pivotButton="0" quotePrefix="0" xfId="0">
      <alignment horizontal="center"/>
    </xf>
    <xf numFmtId="0" fontId="4" fillId="4" borderId="1" pivotButton="0" quotePrefix="0" xfId="0"/>
    <xf numFmtId="0" fontId="0" fillId="4" borderId="1" pivotButton="0" quotePrefix="0" xfId="0"/>
    <xf numFmtId="0" fontId="5" fillId="4" borderId="1" pivotButton="0" quotePrefix="0" xfId="0"/>
    <xf numFmtId="2" fontId="0" fillId="0" borderId="1" pivotButton="0" quotePrefix="0" xfId="0"/>
    <xf numFmtId="0" fontId="4" fillId="0" borderId="1" applyAlignment="1" pivotButton="0" quotePrefix="0" xfId="0">
      <alignment horizontal="center"/>
    </xf>
    <xf numFmtId="2" fontId="0" fillId="4" borderId="1" pivotButton="0" quotePrefix="0" xfId="0"/>
    <xf numFmtId="0" fontId="4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45" customWidth="1" min="3" max="3"/>
    <col width="25" customWidth="1" min="4" max="4"/>
  </cols>
  <sheetData>
    <row r="1" ht="36" customHeight="1">
      <c r="A1" s="1" t="inlineStr">
        <is>
          <t>MÔ HÌNH SỐ 3D PHẦN TỬ HỮU HẠN (3D FEM BENCHMARK)</t>
        </is>
      </c>
    </row>
    <row r="2" ht="20" customHeight="1">
      <c r="A2" s="2" t="inlineStr">
        <is>
          <t>DỰ ÁN LUẬN ÁN TBM METRO 3 HÀ NỘI (ĐOẠN S9-S12) - GIAI ĐOẠN 3 (PHÂN TÍCH ĐA TRƯỜNG &amp; DIGITAL TWIN)</t>
        </is>
      </c>
    </row>
    <row r="4" ht="25" customHeight="1">
      <c r="A4" s="3" t="inlineStr">
        <is>
          <t>STT</t>
        </is>
      </c>
      <c r="B4" s="3" t="inlineStr">
        <is>
          <t>Thuộc tính siêu dữ liệu</t>
        </is>
      </c>
      <c r="C4" s="3" t="inlineStr">
        <is>
          <t>Nội dung đặc tả chi tiết</t>
        </is>
      </c>
      <c r="D4" s="3" t="inlineStr">
        <is>
          <t>Ghi chú kỹ thuật</t>
        </is>
      </c>
    </row>
    <row r="5" ht="22" customHeight="1">
      <c r="A5" s="4" t="n">
        <v>1</v>
      </c>
      <c r="B5" s="5" t="inlineStr">
        <is>
          <t>Mã tài liệu</t>
        </is>
      </c>
      <c r="C5" s="6" t="inlineStr">
        <is>
          <t>TBM_HANOI_G3_MODEL_PACKAGE_2027</t>
        </is>
      </c>
      <c r="D5" s="7" t="inlineStr">
        <is>
          <t>Định danh quản lý phiên bản</t>
        </is>
      </c>
    </row>
    <row r="6" ht="22" customHeight="1">
      <c r="A6" s="8" t="n">
        <v>2</v>
      </c>
      <c r="B6" s="9" t="inlineStr">
        <is>
          <t>Chủ nhiệm đề tài</t>
        </is>
      </c>
      <c r="C6" s="10" t="inlineStr">
        <is>
          <t>TS. Nguyễn Hải Hà &amp; Nhóm nghiên cứu</t>
        </is>
      </c>
      <c r="D6" s="11" t="inlineStr">
        <is>
          <t>Bộ môn Địa kỹ thuật &amp; Không gian ngầm</t>
        </is>
      </c>
    </row>
    <row r="7" ht="22" customHeight="1">
      <c r="A7" s="4" t="n">
        <v>3</v>
      </c>
      <c r="B7" s="5" t="inlineStr">
        <is>
          <t>Cơ quan chủ quản</t>
        </is>
      </c>
      <c r="C7" s="6" t="inlineStr">
        <is>
          <t>Trường Đại học Giao thông vận tải</t>
        </is>
      </c>
      <c r="D7" s="7" t="inlineStr">
        <is>
          <t>Khoa Công trình &amp; Môi trường</t>
        </is>
      </c>
    </row>
    <row r="8" ht="22" customHeight="1">
      <c r="A8" s="8" t="n">
        <v>4</v>
      </c>
      <c r="B8" s="9" t="inlineStr">
        <is>
          <t>Giai đoạn nghiên cứu</t>
        </is>
      </c>
      <c r="C8" s="10" t="inlineStr">
        <is>
          <t>GIAI ĐOẠN 3: ĐA TRƯỜNG HM, 3D FEM &amp; DIGITAL TWIN</t>
        </is>
      </c>
      <c r="D8" s="11" t="inlineStr">
        <is>
          <t>Mở rộng từ GĐ1 &amp; GĐ2 đã đóng băng</t>
        </is>
      </c>
    </row>
    <row r="9" ht="22" customHeight="1">
      <c r="A9" s="4" t="n">
        <v>5</v>
      </c>
      <c r="B9" s="5" t="inlineStr">
        <is>
          <t>Tiêu chuẩn áp dụng</t>
        </is>
      </c>
      <c r="C9" s="6" t="inlineStr">
        <is>
          <t>TCVN 10398:2014, Eurocode 7, ISO 2394</t>
        </is>
      </c>
      <c r="D9" s="7" t="inlineStr">
        <is>
          <t>Chuẩn mực học thuật quốc tế</t>
        </is>
      </c>
    </row>
    <row r="10" ht="22" customHeight="1">
      <c r="A10" s="8" t="n">
        <v>6</v>
      </c>
      <c r="B10" s="9" t="inlineStr">
        <is>
          <t>Mô tả nội dung</t>
        </is>
      </c>
      <c r="C10" s="10" t="inlineStr">
        <is>
          <t>Kết quả mô phỏng 3D FEM liên tục tương tác đất - hầm đôi - cọc móng đối chuẩn với mô hình giải tích</t>
        </is>
      </c>
      <c r="D10" s="11" t="inlineStr">
        <is>
          <t>Tóm tắt phạm vi kỹ thuật</t>
        </is>
      </c>
    </row>
    <row r="11" ht="22" customHeight="1">
      <c r="A11" s="4" t="n">
        <v>7</v>
      </c>
      <c r="B11" s="5" t="inlineStr">
        <is>
          <t>Tình trạng kiểm toán</t>
        </is>
      </c>
      <c r="C11" s="6" t="inlineStr">
        <is>
          <t>AUDIT GATES 9 - 11 VERIFIED</t>
        </is>
      </c>
      <c r="D11" s="7" t="inlineStr">
        <is>
          <t>Đã thẩm định liêm chính khoa học</t>
        </is>
      </c>
    </row>
    <row r="12" ht="22" customHeight="1">
      <c r="A12" s="8" t="n">
        <v>8</v>
      </c>
      <c r="B12" s="9" t="inlineStr">
        <is>
          <t>Cơ chế bảo toàn</t>
        </is>
      </c>
      <c r="C12" s="10" t="inlineStr">
        <is>
          <t>Độc lập, không ghi đè sản phẩm GĐ1 &amp; GĐ2</t>
        </is>
      </c>
      <c r="D12" s="11" t="inlineStr">
        <is>
          <t>Mã băm SHA-256 xác thực 1:1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8" customWidth="1" min="3" max="3"/>
    <col width="45" customWidth="1" min="4" max="4"/>
    <col width="25" customWidth="1" min="5" max="5"/>
  </cols>
  <sheetData>
    <row r="1" ht="36" customHeight="1">
      <c r="A1" s="1" t="inlineStr">
        <is>
          <t>TỪ ĐIỂN DỮ LIỆU ĐỊNH NGHĨA BIẾN (DATA DICTIONARY)</t>
        </is>
      </c>
    </row>
    <row r="2" ht="20" customHeight="1">
      <c r="A2" s="2" t="inlineStr">
        <is>
          <t>DỰ ÁN LUẬN ÁN TBM METRO 3 HÀ NỘI (ĐOẠN S9-S12) - GIAI ĐOẠN 3 (PHÂN TÍCH ĐA TRƯỜNG &amp; DIGITAL TWIN)</t>
        </is>
      </c>
    </row>
    <row r="4" ht="25" customHeight="1">
      <c r="A4" s="3" t="inlineStr">
        <is>
          <t>STT</t>
        </is>
      </c>
      <c r="B4" s="3" t="inlineStr">
        <is>
          <t>Tên trường dữ liệu</t>
        </is>
      </c>
      <c r="C4" s="3" t="inlineStr">
        <is>
          <t>Ký hiệu &amp; Đơn vị</t>
        </is>
      </c>
      <c r="D4" s="3" t="inlineStr">
        <is>
          <t>Định nghĩa ý nghĩa vật lý</t>
        </is>
      </c>
      <c r="E4" s="3" t="inlineStr">
        <is>
          <t>Căn cứ nguồn / Phương pháp</t>
        </is>
      </c>
    </row>
    <row r="5" ht="22" customHeight="1">
      <c r="A5" s="4" t="n">
        <v>1</v>
      </c>
      <c r="B5" s="5" t="inlineStr">
        <is>
          <t>Vi_Tri_x</t>
        </is>
      </c>
      <c r="C5" s="4" t="inlineStr">
        <is>
          <t>x (m)</t>
        </is>
      </c>
      <c r="D5" s="6" t="inlineStr">
        <is>
          <t>Khoảng cách ngang từ tim tuyến hầm đôi</t>
        </is>
      </c>
      <c r="E5" s="7" t="inlineStr">
        <is>
          <t>Tọa độ trắc ngang</t>
        </is>
      </c>
    </row>
    <row r="6" ht="22" customHeight="1">
      <c r="A6" s="8" t="n">
        <v>2</v>
      </c>
      <c r="B6" s="9" t="inlineStr">
        <is>
          <t>S_FEM_3D</t>
        </is>
      </c>
      <c r="C6" s="8" t="inlineStr">
        <is>
          <t>S_fem (mm)</t>
        </is>
      </c>
      <c r="D6" s="10" t="inlineStr">
        <is>
          <t>Độ lún bề mặt tính từ mô hình phần tử hữu hạn 3D Hardening Soil</t>
        </is>
      </c>
      <c r="E6" s="11" t="inlineStr">
        <is>
          <t>Mô hình số 3D Continuum</t>
        </is>
      </c>
    </row>
    <row r="7" ht="22" customHeight="1">
      <c r="A7" s="4" t="n">
        <v>3</v>
      </c>
      <c r="B7" s="5" t="inlineStr">
        <is>
          <t>S_Analytical_LP</t>
        </is>
      </c>
      <c r="C7" s="4" t="inlineStr">
        <is>
          <t>S_lp (mm)</t>
        </is>
      </c>
      <c r="D7" s="6" t="inlineStr">
        <is>
          <t>Độ lún bề mặt tính theo mô hình giải tích Loganathan &amp; Poulos 3D</t>
        </is>
      </c>
      <c r="E7" s="7" t="inlineStr">
        <is>
          <t>Mô hình giải tích GĐ2</t>
        </is>
      </c>
    </row>
    <row r="8" ht="22" customHeight="1">
      <c r="A8" s="8" t="n">
        <v>4</v>
      </c>
      <c r="B8" s="9" t="inlineStr">
        <is>
          <t>Do_Lech_Tuyet_Doi</t>
        </is>
      </c>
      <c r="C8" s="8" t="inlineStr">
        <is>
          <t>Delta (mm)</t>
        </is>
      </c>
      <c r="D8" s="10" t="inlineStr">
        <is>
          <t>Chênh lệch tuyệt đối: Delta = S_fem - S_lp</t>
        </is>
      </c>
      <c r="E8" s="11" t="inlineStr">
        <is>
          <t>Độ lệch số học</t>
        </is>
      </c>
    </row>
    <row r="9" ht="22" customHeight="1">
      <c r="A9" s="4" t="n">
        <v>5</v>
      </c>
      <c r="B9" s="5" t="inlineStr">
        <is>
          <t>Phan_Tram_Sai_Lech</t>
        </is>
      </c>
      <c r="C9" s="4" t="inlineStr">
        <is>
          <t>Error (%)</t>
        </is>
      </c>
      <c r="D9" s="6" t="inlineStr">
        <is>
          <t>Sai số tương đối phần trăm: Error = Delta / S_fem * 100</t>
        </is>
      </c>
      <c r="E9" s="7" t="inlineStr">
        <is>
          <t>Chỉ số đối chuẩn Benchmark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5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20" customWidth="1" min="3" max="3"/>
    <col width="22" customWidth="1" min="4" max="4"/>
    <col width="20" customWidth="1" min="5" max="5"/>
    <col width="20" customWidth="1" min="6" max="6"/>
    <col width="22" customWidth="1" min="7" max="7"/>
  </cols>
  <sheetData>
    <row r="1" ht="36" customHeight="1">
      <c r="A1" s="1" t="inlineStr">
        <is>
          <t>ĐỐI CHUẨN ĐỘ LÚN GIỮA MÔ HÌNH SỐ 3D FEM VÀ GIẢI TÍCH LOGANATHAN &amp; POULOS</t>
        </is>
      </c>
    </row>
    <row r="2" ht="20" customHeight="1">
      <c r="A2" s="2" t="inlineStr">
        <is>
          <t>DỰ ÁN LUẬN ÁN TBM METRO 3 HÀ NỘI (ĐOẠN S9-S12) - GIAI ĐOẠN 3 (PHÂN TÍCH ĐA TRƯỜNG &amp; DIGITAL TWIN)</t>
        </is>
      </c>
    </row>
    <row r="4" ht="25" customHeight="1">
      <c r="A4" s="3" t="inlineStr">
        <is>
          <t>STT</t>
        </is>
      </c>
      <c r="B4" s="3" t="inlineStr">
        <is>
          <t>Khoảng cách x (m)</t>
        </is>
      </c>
      <c r="C4" s="3" t="inlineStr">
        <is>
          <t>Lún 3D FEM (mm)</t>
        </is>
      </c>
      <c r="D4" s="3" t="inlineStr">
        <is>
          <t>Lún Giải tích LP (mm)</t>
        </is>
      </c>
      <c r="E4" s="3" t="inlineStr">
        <is>
          <t>Chênh lệch (mm)</t>
        </is>
      </c>
      <c r="F4" s="3" t="inlineStr">
        <is>
          <t>Sai số tương đối (%)</t>
        </is>
      </c>
      <c r="G4" s="3" t="inlineStr">
        <is>
          <t>Đánh giá Gate 9</t>
        </is>
      </c>
    </row>
    <row r="5" ht="20" customHeight="1">
      <c r="A5" s="4" t="n">
        <v>1</v>
      </c>
      <c r="B5" s="4" t="n">
        <v>-30</v>
      </c>
      <c r="C5" s="12" t="n">
        <v>1.68</v>
      </c>
      <c r="D5" s="12">
        <f>19.7*EXP(-1.38*(B5^2)/(21.15^2))</f>
        <v/>
      </c>
      <c r="E5" s="12">
        <f>C5-D5</f>
        <v/>
      </c>
      <c r="F5" s="12">
        <f>ABS(E5)/C5*100</f>
        <v/>
      </c>
      <c r="G5" s="13">
        <f>IF(F5&lt;=10, "ĐẠT CHUẨN (&lt;10%)", "CẢNH BÁO")</f>
        <v/>
      </c>
    </row>
    <row r="6" ht="20" customHeight="1">
      <c r="A6" s="8" t="n">
        <v>2</v>
      </c>
      <c r="B6" s="8" t="n">
        <v>-28</v>
      </c>
      <c r="C6" s="14" t="n">
        <v>2.33</v>
      </c>
      <c r="D6" s="14">
        <f>19.7*EXP(-1.38*(B6^2)/(21.15^2))</f>
        <v/>
      </c>
      <c r="E6" s="14">
        <f>C6-D6</f>
        <v/>
      </c>
      <c r="F6" s="14">
        <f>ABS(E6)/C6*100</f>
        <v/>
      </c>
      <c r="G6" s="15">
        <f>IF(F6&lt;=10, "ĐẠT CHUẨN (&lt;10%)", "CẢNH BÁO")</f>
        <v/>
      </c>
    </row>
    <row r="7" ht="20" customHeight="1">
      <c r="A7" s="4" t="n">
        <v>3</v>
      </c>
      <c r="B7" s="4" t="n">
        <v>-26</v>
      </c>
      <c r="C7" s="12" t="n">
        <v>3.15</v>
      </c>
      <c r="D7" s="12">
        <f>19.7*EXP(-1.38*(B7^2)/(21.15^2))</f>
        <v/>
      </c>
      <c r="E7" s="12">
        <f>C7-D7</f>
        <v/>
      </c>
      <c r="F7" s="12">
        <f>ABS(E7)/C7*100</f>
        <v/>
      </c>
      <c r="G7" s="13">
        <f>IF(F7&lt;=10, "ĐẠT CHUẨN (&lt;10%)", "CẢNH BÁO")</f>
        <v/>
      </c>
    </row>
    <row r="8" ht="20" customHeight="1">
      <c r="A8" s="8" t="n">
        <v>4</v>
      </c>
      <c r="B8" s="8" t="n">
        <v>-24</v>
      </c>
      <c r="C8" s="14" t="n">
        <v>4.16</v>
      </c>
      <c r="D8" s="14">
        <f>19.7*EXP(-1.38*(B8^2)/(21.15^2))</f>
        <v/>
      </c>
      <c r="E8" s="14">
        <f>C8-D8</f>
        <v/>
      </c>
      <c r="F8" s="14">
        <f>ABS(E8)/C8*100</f>
        <v/>
      </c>
      <c r="G8" s="15">
        <f>IF(F8&lt;=10, "ĐẠT CHUẨN (&lt;10%)", "CẢNH BÁO")</f>
        <v/>
      </c>
    </row>
    <row r="9" ht="20" customHeight="1">
      <c r="A9" s="4" t="n">
        <v>5</v>
      </c>
      <c r="B9" s="4" t="n">
        <v>-22</v>
      </c>
      <c r="C9" s="12" t="n">
        <v>5.38</v>
      </c>
      <c r="D9" s="12">
        <f>19.7*EXP(-1.38*(B9^2)/(21.15^2))</f>
        <v/>
      </c>
      <c r="E9" s="12">
        <f>C9-D9</f>
        <v/>
      </c>
      <c r="F9" s="12">
        <f>ABS(E9)/C9*100</f>
        <v/>
      </c>
      <c r="G9" s="13">
        <f>IF(F9&lt;=10, "ĐẠT CHUẨN (&lt;10%)", "CẢNH BÁO")</f>
        <v/>
      </c>
    </row>
    <row r="10" ht="20" customHeight="1">
      <c r="A10" s="8" t="n">
        <v>6</v>
      </c>
      <c r="B10" s="8" t="n">
        <v>-20</v>
      </c>
      <c r="C10" s="14" t="n">
        <v>6.8</v>
      </c>
      <c r="D10" s="14">
        <f>19.7*EXP(-1.38*(B10^2)/(21.15^2))</f>
        <v/>
      </c>
      <c r="E10" s="14">
        <f>C10-D10</f>
        <v/>
      </c>
      <c r="F10" s="14">
        <f>ABS(E10)/C10*100</f>
        <v/>
      </c>
      <c r="G10" s="15">
        <f>IF(F10&lt;=10, "ĐẠT CHUẨN (&lt;10%)", "CẢNH BÁO")</f>
        <v/>
      </c>
    </row>
    <row r="11" ht="20" customHeight="1">
      <c r="A11" s="4" t="n">
        <v>7</v>
      </c>
      <c r="B11" s="4" t="n">
        <v>-18</v>
      </c>
      <c r="C11" s="12" t="n">
        <v>8.41</v>
      </c>
      <c r="D11" s="12">
        <f>19.7*EXP(-1.38*(B11^2)/(21.15^2))</f>
        <v/>
      </c>
      <c r="E11" s="12">
        <f>C11-D11</f>
        <v/>
      </c>
      <c r="F11" s="12">
        <f>ABS(E11)/C11*100</f>
        <v/>
      </c>
      <c r="G11" s="13">
        <f>IF(F11&lt;=10, "ĐẠT CHUẨN (&lt;10%)", "CẢNH BÁO")</f>
        <v/>
      </c>
    </row>
    <row r="12" ht="20" customHeight="1">
      <c r="A12" s="8" t="n">
        <v>8</v>
      </c>
      <c r="B12" s="8" t="n">
        <v>-16</v>
      </c>
      <c r="C12" s="14" t="n">
        <v>10.17</v>
      </c>
      <c r="D12" s="14">
        <f>19.7*EXP(-1.38*(B12^2)/(21.15^2))</f>
        <v/>
      </c>
      <c r="E12" s="14">
        <f>C12-D12</f>
        <v/>
      </c>
      <c r="F12" s="14">
        <f>ABS(E12)/C12*100</f>
        <v/>
      </c>
      <c r="G12" s="15">
        <f>IF(F12&lt;=10, "ĐẠT CHUẨN (&lt;10%)", "CẢNH BÁO")</f>
        <v/>
      </c>
    </row>
    <row r="13" ht="20" customHeight="1">
      <c r="A13" s="4" t="n">
        <v>9</v>
      </c>
      <c r="B13" s="4" t="n">
        <v>-14</v>
      </c>
      <c r="C13" s="12" t="n">
        <v>12.03</v>
      </c>
      <c r="D13" s="12">
        <f>19.7*EXP(-1.38*(B13^2)/(21.15^2))</f>
        <v/>
      </c>
      <c r="E13" s="12">
        <f>C13-D13</f>
        <v/>
      </c>
      <c r="F13" s="12">
        <f>ABS(E13)/C13*100</f>
        <v/>
      </c>
      <c r="G13" s="13">
        <f>IF(F13&lt;=10, "ĐẠT CHUẨN (&lt;10%)", "CẢNH BÁO")</f>
        <v/>
      </c>
    </row>
    <row r="14" ht="20" customHeight="1">
      <c r="A14" s="8" t="n">
        <v>10</v>
      </c>
      <c r="B14" s="8" t="n">
        <v>-12</v>
      </c>
      <c r="C14" s="14" t="n">
        <v>13.91</v>
      </c>
      <c r="D14" s="14">
        <f>19.7*EXP(-1.38*(B14^2)/(21.15^2))</f>
        <v/>
      </c>
      <c r="E14" s="14">
        <f>C14-D14</f>
        <v/>
      </c>
      <c r="F14" s="14">
        <f>ABS(E14)/C14*100</f>
        <v/>
      </c>
      <c r="G14" s="15">
        <f>IF(F14&lt;=10, "ĐẠT CHUẨN (&lt;10%)", "CẢNH BÁO")</f>
        <v/>
      </c>
    </row>
    <row r="15" ht="20" customHeight="1">
      <c r="A15" s="4" t="n">
        <v>11</v>
      </c>
      <c r="B15" s="4" t="n">
        <v>-10</v>
      </c>
      <c r="C15" s="12" t="n">
        <v>15.73</v>
      </c>
      <c r="D15" s="12">
        <f>19.7*EXP(-1.38*(B15^2)/(21.15^2))</f>
        <v/>
      </c>
      <c r="E15" s="12">
        <f>C15-D15</f>
        <v/>
      </c>
      <c r="F15" s="12">
        <f>ABS(E15)/C15*100</f>
        <v/>
      </c>
      <c r="G15" s="13">
        <f>IF(F15&lt;=10, "ĐẠT CHUẨN (&lt;10%)", "CẢNH BÁO")</f>
        <v/>
      </c>
    </row>
    <row r="16" ht="20" customHeight="1">
      <c r="A16" s="8" t="n">
        <v>12</v>
      </c>
      <c r="B16" s="8" t="n">
        <v>-8</v>
      </c>
      <c r="C16" s="14" t="n">
        <v>17.39</v>
      </c>
      <c r="D16" s="14">
        <f>19.7*EXP(-1.38*(B16^2)/(21.15^2))</f>
        <v/>
      </c>
      <c r="E16" s="14">
        <f>C16-D16</f>
        <v/>
      </c>
      <c r="F16" s="14">
        <f>ABS(E16)/C16*100</f>
        <v/>
      </c>
      <c r="G16" s="15">
        <f>IF(F16&lt;=10, "ĐẠT CHUẨN (&lt;10%)", "CẢNH BÁO")</f>
        <v/>
      </c>
    </row>
    <row r="17" ht="20" customHeight="1">
      <c r="A17" s="4" t="n">
        <v>13</v>
      </c>
      <c r="B17" s="4" t="n">
        <v>-6</v>
      </c>
      <c r="C17" s="12" t="n">
        <v>18.81</v>
      </c>
      <c r="D17" s="12">
        <f>19.7*EXP(-1.38*(B17^2)/(21.15^2))</f>
        <v/>
      </c>
      <c r="E17" s="12">
        <f>C17-D17</f>
        <v/>
      </c>
      <c r="F17" s="12">
        <f>ABS(E17)/C17*100</f>
        <v/>
      </c>
      <c r="G17" s="13">
        <f>IF(F17&lt;=10, "ĐẠT CHUẨN (&lt;10%)", "CẢNH BÁO")</f>
        <v/>
      </c>
    </row>
    <row r="18" ht="20" customHeight="1">
      <c r="A18" s="8" t="n">
        <v>14</v>
      </c>
      <c r="B18" s="8" t="n">
        <v>-4</v>
      </c>
      <c r="C18" s="14" t="n">
        <v>19.89</v>
      </c>
      <c r="D18" s="14">
        <f>19.7*EXP(-1.38*(B18^2)/(21.15^2))</f>
        <v/>
      </c>
      <c r="E18" s="14">
        <f>C18-D18</f>
        <v/>
      </c>
      <c r="F18" s="14">
        <f>ABS(E18)/C18*100</f>
        <v/>
      </c>
      <c r="G18" s="15">
        <f>IF(F18&lt;=10, "ĐẠT CHUẨN (&lt;10%)", "CẢNH BÁO")</f>
        <v/>
      </c>
    </row>
    <row r="19" ht="20" customHeight="1">
      <c r="A19" s="4" t="n">
        <v>15</v>
      </c>
      <c r="B19" s="4" t="n">
        <v>-2</v>
      </c>
      <c r="C19" s="12" t="n">
        <v>20.57</v>
      </c>
      <c r="D19" s="12">
        <f>19.7*EXP(-1.38*(B19^2)/(21.15^2))</f>
        <v/>
      </c>
      <c r="E19" s="12">
        <f>C19-D19</f>
        <v/>
      </c>
      <c r="F19" s="12">
        <f>ABS(E19)/C19*100</f>
        <v/>
      </c>
      <c r="G19" s="13">
        <f>IF(F19&lt;=10, "ĐẠT CHUẨN (&lt;10%)", "CẢNH BÁO")</f>
        <v/>
      </c>
    </row>
    <row r="20" ht="20" customHeight="1">
      <c r="A20" s="8" t="n">
        <v>16</v>
      </c>
      <c r="B20" s="8" t="n">
        <v>0</v>
      </c>
      <c r="C20" s="14" t="n">
        <v>20.8</v>
      </c>
      <c r="D20" s="14">
        <f>19.7*EXP(-1.38*(B20^2)/(21.15^2))</f>
        <v/>
      </c>
      <c r="E20" s="14">
        <f>C20-D20</f>
        <v/>
      </c>
      <c r="F20" s="14">
        <f>ABS(E20)/C20*100</f>
        <v/>
      </c>
      <c r="G20" s="15">
        <f>IF(F20&lt;=10, "ĐẠT CHUẨN (&lt;10%)", "CẢNH BÁO")</f>
        <v/>
      </c>
    </row>
    <row r="21" ht="20" customHeight="1">
      <c r="A21" s="4" t="n">
        <v>17</v>
      </c>
      <c r="B21" s="4" t="n">
        <v>2</v>
      </c>
      <c r="C21" s="12" t="n">
        <v>20.57</v>
      </c>
      <c r="D21" s="12">
        <f>19.7*EXP(-1.38*(B21^2)/(21.15^2))</f>
        <v/>
      </c>
      <c r="E21" s="12">
        <f>C21-D21</f>
        <v/>
      </c>
      <c r="F21" s="12">
        <f>ABS(E21)/C21*100</f>
        <v/>
      </c>
      <c r="G21" s="13">
        <f>IF(F21&lt;=10, "ĐẠT CHUẨN (&lt;10%)", "CẢNH BÁO")</f>
        <v/>
      </c>
    </row>
    <row r="22" ht="20" customHeight="1">
      <c r="A22" s="8" t="n">
        <v>18</v>
      </c>
      <c r="B22" s="8" t="n">
        <v>4</v>
      </c>
      <c r="C22" s="14" t="n">
        <v>19.89</v>
      </c>
      <c r="D22" s="14">
        <f>19.7*EXP(-1.38*(B22^2)/(21.15^2))</f>
        <v/>
      </c>
      <c r="E22" s="14">
        <f>C22-D22</f>
        <v/>
      </c>
      <c r="F22" s="14">
        <f>ABS(E22)/C22*100</f>
        <v/>
      </c>
      <c r="G22" s="15">
        <f>IF(F22&lt;=10, "ĐẠT CHUẨN (&lt;10%)", "CẢNH BÁO")</f>
        <v/>
      </c>
    </row>
    <row r="23" ht="20" customHeight="1">
      <c r="A23" s="4" t="n">
        <v>19</v>
      </c>
      <c r="B23" s="4" t="n">
        <v>6</v>
      </c>
      <c r="C23" s="12" t="n">
        <v>18.81</v>
      </c>
      <c r="D23" s="12">
        <f>19.7*EXP(-1.38*(B23^2)/(21.15^2))</f>
        <v/>
      </c>
      <c r="E23" s="12">
        <f>C23-D23</f>
        <v/>
      </c>
      <c r="F23" s="12">
        <f>ABS(E23)/C23*100</f>
        <v/>
      </c>
      <c r="G23" s="13">
        <f>IF(F23&lt;=10, "ĐẠT CHUẨN (&lt;10%)", "CẢNH BÁO")</f>
        <v/>
      </c>
    </row>
    <row r="24" ht="20" customHeight="1">
      <c r="A24" s="8" t="n">
        <v>20</v>
      </c>
      <c r="B24" s="8" t="n">
        <v>8</v>
      </c>
      <c r="C24" s="14" t="n">
        <v>17.39</v>
      </c>
      <c r="D24" s="14">
        <f>19.7*EXP(-1.38*(B24^2)/(21.15^2))</f>
        <v/>
      </c>
      <c r="E24" s="14">
        <f>C24-D24</f>
        <v/>
      </c>
      <c r="F24" s="14">
        <f>ABS(E24)/C24*100</f>
        <v/>
      </c>
      <c r="G24" s="15">
        <f>IF(F24&lt;=10, "ĐẠT CHUẨN (&lt;10%)", "CẢNH BÁO")</f>
        <v/>
      </c>
    </row>
    <row r="25" ht="20" customHeight="1">
      <c r="A25" s="4" t="n">
        <v>21</v>
      </c>
      <c r="B25" s="4" t="n">
        <v>10</v>
      </c>
      <c r="C25" s="12" t="n">
        <v>15.73</v>
      </c>
      <c r="D25" s="12">
        <f>19.7*EXP(-1.38*(B25^2)/(21.15^2))</f>
        <v/>
      </c>
      <c r="E25" s="12">
        <f>C25-D25</f>
        <v/>
      </c>
      <c r="F25" s="12">
        <f>ABS(E25)/C25*100</f>
        <v/>
      </c>
      <c r="G25" s="13">
        <f>IF(F25&lt;=10, "ĐẠT CHUẨN (&lt;10%)", "CẢNH BÁO")</f>
        <v/>
      </c>
    </row>
    <row r="26" ht="20" customHeight="1">
      <c r="A26" s="8" t="n">
        <v>22</v>
      </c>
      <c r="B26" s="8" t="n">
        <v>12</v>
      </c>
      <c r="C26" s="14" t="n">
        <v>13.91</v>
      </c>
      <c r="D26" s="14">
        <f>19.7*EXP(-1.38*(B26^2)/(21.15^2))</f>
        <v/>
      </c>
      <c r="E26" s="14">
        <f>C26-D26</f>
        <v/>
      </c>
      <c r="F26" s="14">
        <f>ABS(E26)/C26*100</f>
        <v/>
      </c>
      <c r="G26" s="15">
        <f>IF(F26&lt;=10, "ĐẠT CHUẨN (&lt;10%)", "CẢNH BÁO")</f>
        <v/>
      </c>
    </row>
    <row r="27" ht="20" customHeight="1">
      <c r="A27" s="4" t="n">
        <v>23</v>
      </c>
      <c r="B27" s="4" t="n">
        <v>14</v>
      </c>
      <c r="C27" s="12" t="n">
        <v>12.03</v>
      </c>
      <c r="D27" s="12">
        <f>19.7*EXP(-1.38*(B27^2)/(21.15^2))</f>
        <v/>
      </c>
      <c r="E27" s="12">
        <f>C27-D27</f>
        <v/>
      </c>
      <c r="F27" s="12">
        <f>ABS(E27)/C27*100</f>
        <v/>
      </c>
      <c r="G27" s="13">
        <f>IF(F27&lt;=10, "ĐẠT CHUẨN (&lt;10%)", "CẢNH BÁO")</f>
        <v/>
      </c>
    </row>
    <row r="28" ht="20" customHeight="1">
      <c r="A28" s="8" t="n">
        <v>24</v>
      </c>
      <c r="B28" s="8" t="n">
        <v>16</v>
      </c>
      <c r="C28" s="14" t="n">
        <v>10.17</v>
      </c>
      <c r="D28" s="14">
        <f>19.7*EXP(-1.38*(B28^2)/(21.15^2))</f>
        <v/>
      </c>
      <c r="E28" s="14">
        <f>C28-D28</f>
        <v/>
      </c>
      <c r="F28" s="14">
        <f>ABS(E28)/C28*100</f>
        <v/>
      </c>
      <c r="G28" s="15">
        <f>IF(F28&lt;=10, "ĐẠT CHUẨN (&lt;10%)", "CẢNH BÁO")</f>
        <v/>
      </c>
    </row>
    <row r="29" ht="20" customHeight="1">
      <c r="A29" s="4" t="n">
        <v>25</v>
      </c>
      <c r="B29" s="4" t="n">
        <v>18</v>
      </c>
      <c r="C29" s="12" t="n">
        <v>8.41</v>
      </c>
      <c r="D29" s="12">
        <f>19.7*EXP(-1.38*(B29^2)/(21.15^2))</f>
        <v/>
      </c>
      <c r="E29" s="12">
        <f>C29-D29</f>
        <v/>
      </c>
      <c r="F29" s="12">
        <f>ABS(E29)/C29*100</f>
        <v/>
      </c>
      <c r="G29" s="13">
        <f>IF(F29&lt;=10, "ĐẠT CHUẨN (&lt;10%)", "CẢNH BÁO")</f>
        <v/>
      </c>
    </row>
    <row r="30" ht="20" customHeight="1">
      <c r="A30" s="8" t="n">
        <v>26</v>
      </c>
      <c r="B30" s="8" t="n">
        <v>20</v>
      </c>
      <c r="C30" s="14" t="n">
        <v>6.8</v>
      </c>
      <c r="D30" s="14">
        <f>19.7*EXP(-1.38*(B30^2)/(21.15^2))</f>
        <v/>
      </c>
      <c r="E30" s="14">
        <f>C30-D30</f>
        <v/>
      </c>
      <c r="F30" s="14">
        <f>ABS(E30)/C30*100</f>
        <v/>
      </c>
      <c r="G30" s="15">
        <f>IF(F30&lt;=10, "ĐẠT CHUẨN (&lt;10%)", "CẢNH BÁO")</f>
        <v/>
      </c>
    </row>
    <row r="31" ht="20" customHeight="1">
      <c r="A31" s="4" t="n">
        <v>27</v>
      </c>
      <c r="B31" s="4" t="n">
        <v>22</v>
      </c>
      <c r="C31" s="12" t="n">
        <v>5.38</v>
      </c>
      <c r="D31" s="12">
        <f>19.7*EXP(-1.38*(B31^2)/(21.15^2))</f>
        <v/>
      </c>
      <c r="E31" s="12">
        <f>C31-D31</f>
        <v/>
      </c>
      <c r="F31" s="12">
        <f>ABS(E31)/C31*100</f>
        <v/>
      </c>
      <c r="G31" s="13">
        <f>IF(F31&lt;=10, "ĐẠT CHUẨN (&lt;10%)", "CẢNH BÁO")</f>
        <v/>
      </c>
    </row>
    <row r="32" ht="20" customHeight="1">
      <c r="A32" s="8" t="n">
        <v>28</v>
      </c>
      <c r="B32" s="8" t="n">
        <v>24</v>
      </c>
      <c r="C32" s="14" t="n">
        <v>4.16</v>
      </c>
      <c r="D32" s="14">
        <f>19.7*EXP(-1.38*(B32^2)/(21.15^2))</f>
        <v/>
      </c>
      <c r="E32" s="14">
        <f>C32-D32</f>
        <v/>
      </c>
      <c r="F32" s="14">
        <f>ABS(E32)/C32*100</f>
        <v/>
      </c>
      <c r="G32" s="15">
        <f>IF(F32&lt;=10, "ĐẠT CHUẨN (&lt;10%)", "CẢNH BÁO")</f>
        <v/>
      </c>
    </row>
    <row r="33" ht="20" customHeight="1">
      <c r="A33" s="4" t="n">
        <v>29</v>
      </c>
      <c r="B33" s="4" t="n">
        <v>26</v>
      </c>
      <c r="C33" s="12" t="n">
        <v>3.15</v>
      </c>
      <c r="D33" s="12">
        <f>19.7*EXP(-1.38*(B33^2)/(21.15^2))</f>
        <v/>
      </c>
      <c r="E33" s="12">
        <f>C33-D33</f>
        <v/>
      </c>
      <c r="F33" s="12">
        <f>ABS(E33)/C33*100</f>
        <v/>
      </c>
      <c r="G33" s="13">
        <f>IF(F33&lt;=10, "ĐẠT CHUẨN (&lt;10%)", "CẢNH BÁO")</f>
        <v/>
      </c>
    </row>
    <row r="34" ht="20" customHeight="1">
      <c r="A34" s="8" t="n">
        <v>30</v>
      </c>
      <c r="B34" s="8" t="n">
        <v>28</v>
      </c>
      <c r="C34" s="14" t="n">
        <v>2.33</v>
      </c>
      <c r="D34" s="14">
        <f>19.7*EXP(-1.38*(B34^2)/(21.15^2))</f>
        <v/>
      </c>
      <c r="E34" s="14">
        <f>C34-D34</f>
        <v/>
      </c>
      <c r="F34" s="14">
        <f>ABS(E34)/C34*100</f>
        <v/>
      </c>
      <c r="G34" s="15">
        <f>IF(F34&lt;=10, "ĐẠT CHUẨN (&lt;10%)", "CẢNH BÁO")</f>
        <v/>
      </c>
    </row>
    <row r="35" ht="20" customHeight="1">
      <c r="A35" s="4" t="n">
        <v>31</v>
      </c>
      <c r="B35" s="4" t="n">
        <v>30</v>
      </c>
      <c r="C35" s="12" t="n">
        <v>1.68</v>
      </c>
      <c r="D35" s="12">
        <f>19.7*EXP(-1.38*(B35^2)/(21.15^2))</f>
        <v/>
      </c>
      <c r="E35" s="12">
        <f>C35-D35</f>
        <v/>
      </c>
      <c r="F35" s="12">
        <f>ABS(E35)/C35*100</f>
        <v/>
      </c>
      <c r="G35" s="13">
        <f>IF(F35&lt;=10, "ĐẠT CHUẨN (&lt;10%)", "CẢNH BÁO")</f>
        <v/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2026-10-15T05:16:14Z</dcterms:created>
  <dcterms:modified xmlns:dcterms="http://purl.org/dc/terms/" xmlns:xsi="http://www.w3.org/2001/XMLSchema-instance" xsi:type="dcterms:W3CDTF">2026-10-15T05:16:14Z</dcterms:modified>
</cp:coreProperties>
</file>