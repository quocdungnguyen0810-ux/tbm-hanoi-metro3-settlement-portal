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upled_HM_Settl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  <xf numFmtId="164" fontId="0" fillId="0" borderId="1" pivotButton="0" quotePrefix="0" xfId="0"/>
    <xf numFmtId="2" fontId="0" fillId="0" borderId="1" pivotButton="0" quotePrefix="0" xfId="0"/>
    <xf numFmtId="2" fontId="4" fillId="0" borderId="1" pivotButton="0" quotePrefix="0" xfId="0"/>
    <xf numFmtId="164" fontId="0" fillId="4" borderId="1" pivotButton="0" quotePrefix="0" xfId="0"/>
    <xf numFmtId="2" fontId="0" fillId="4" borderId="1" pivotButton="0" quotePrefix="0" xfId="0"/>
    <xf numFmtId="2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</cols>
  <sheetData>
    <row r="1" ht="36" customHeight="1">
      <c r="A1" s="1" t="inlineStr">
        <is>
          <t>MÔ HÌNH ĐA TRƯỜNG THẤM - BIẾN DẠNG - CỐ KẾT (HM COUPLED)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Thuộc tính siêu dữ liệu</t>
        </is>
      </c>
      <c r="C4" s="3" t="inlineStr">
        <is>
          <t>Nội dung đặc tả chi tiết</t>
        </is>
      </c>
      <c r="D4" s="3" t="inlineStr">
        <is>
          <t>Ghi chú kỹ thuật</t>
        </is>
      </c>
    </row>
    <row r="5" ht="22" customHeight="1">
      <c r="A5" s="4" t="n">
        <v>1</v>
      </c>
      <c r="B5" s="5" t="inlineStr">
        <is>
          <t>Mã tài liệu</t>
        </is>
      </c>
      <c r="C5" s="6" t="inlineStr">
        <is>
          <t>TBM_HANOI_G3_MODEL_PACKAGE_2027</t>
        </is>
      </c>
      <c r="D5" s="7" t="inlineStr">
        <is>
          <t>Định danh quản lý phiên bản</t>
        </is>
      </c>
    </row>
    <row r="6" ht="22" customHeight="1">
      <c r="A6" s="8" t="n">
        <v>2</v>
      </c>
      <c r="B6" s="9" t="inlineStr">
        <is>
          <t>Chủ nhiệm đề tài</t>
        </is>
      </c>
      <c r="C6" s="10" t="inlineStr">
        <is>
          <t>TS. Nguyễn Hải Hà &amp; Nhóm nghiên cứu</t>
        </is>
      </c>
      <c r="D6" s="11" t="inlineStr">
        <is>
          <t>Bộ môn Địa kỹ thuật &amp; Không gian ngầm</t>
        </is>
      </c>
    </row>
    <row r="7" ht="22" customHeight="1">
      <c r="A7" s="4" t="n">
        <v>3</v>
      </c>
      <c r="B7" s="5" t="inlineStr">
        <is>
          <t>Cơ quan chủ quản</t>
        </is>
      </c>
      <c r="C7" s="6" t="inlineStr">
        <is>
          <t>Trường Đại học Giao thông vận tải</t>
        </is>
      </c>
      <c r="D7" s="7" t="inlineStr">
        <is>
          <t>Khoa Công trình &amp; Môi trường</t>
        </is>
      </c>
    </row>
    <row r="8" ht="22" customHeight="1">
      <c r="A8" s="8" t="n">
        <v>4</v>
      </c>
      <c r="B8" s="9" t="inlineStr">
        <is>
          <t>Giai đoạn nghiên cứu</t>
        </is>
      </c>
      <c r="C8" s="10" t="inlineStr">
        <is>
          <t>GIAI ĐOẠN 3: ĐA TRƯỜNG HM, 3D FEM &amp; DIGITAL TWIN</t>
        </is>
      </c>
      <c r="D8" s="11" t="inlineStr">
        <is>
          <t>Mở rộng từ GĐ1 &amp; GĐ2 đã đóng băng</t>
        </is>
      </c>
    </row>
    <row r="9" ht="22" customHeight="1">
      <c r="A9" s="4" t="n">
        <v>5</v>
      </c>
      <c r="B9" s="5" t="inlineStr">
        <is>
          <t>Tiêu chuẩn áp dụng</t>
        </is>
      </c>
      <c r="C9" s="6" t="inlineStr">
        <is>
          <t>TCVN 10398:2014, Eurocode 7, ISO 2394</t>
        </is>
      </c>
      <c r="D9" s="7" t="inlineStr">
        <is>
          <t>Chuẩn mực học thuật quốc tế</t>
        </is>
      </c>
    </row>
    <row r="10" ht="22" customHeight="1">
      <c r="A10" s="8" t="n">
        <v>6</v>
      </c>
      <c r="B10" s="9" t="inlineStr">
        <is>
          <t>Mô tả nội dung</t>
        </is>
      </c>
      <c r="C10" s="10" t="inlineStr">
        <is>
          <t>Tách bạch và định lượng thành phần lún cơ học do TBM và lún thủy lực do hạ mực nước ngầm cố kết đất yếu</t>
        </is>
      </c>
      <c r="D10" s="11" t="inlineStr">
        <is>
          <t>Tóm tắt phạm vi kỹ thuật</t>
        </is>
      </c>
    </row>
    <row r="11" ht="22" customHeight="1">
      <c r="A11" s="4" t="n">
        <v>7</v>
      </c>
      <c r="B11" s="5" t="inlineStr">
        <is>
          <t>Tình trạng kiểm toán</t>
        </is>
      </c>
      <c r="C11" s="6" t="inlineStr">
        <is>
          <t>AUDIT GATES 9 - 11 VERIFIED</t>
        </is>
      </c>
      <c r="D11" s="7" t="inlineStr">
        <is>
          <t>Đã thẩm định liêm chính khoa học</t>
        </is>
      </c>
    </row>
    <row r="12" ht="22" customHeight="1">
      <c r="A12" s="8" t="n">
        <v>8</v>
      </c>
      <c r="B12" s="9" t="inlineStr">
        <is>
          <t>Cơ chế bảo toàn</t>
        </is>
      </c>
      <c r="C12" s="10" t="inlineStr">
        <is>
          <t>Độc lập, không ghi đè sản phẩm GĐ1 &amp; GĐ2</t>
        </is>
      </c>
      <c r="D12" s="11" t="inlineStr">
        <is>
          <t>Mã băm SHA-256 xác thực 1:1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25" customWidth="1" min="5" max="5"/>
  </cols>
  <sheetData>
    <row r="1" ht="36" customHeight="1">
      <c r="A1" s="1" t="inlineStr">
        <is>
          <t>TỪ ĐIỂN DỮ LIỆU ĐỊNH NGHĨA BIẾN (DATA DICTIONARY)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Tên trường dữ liệu</t>
        </is>
      </c>
      <c r="C4" s="3" t="inlineStr">
        <is>
          <t>Ký hiệu &amp; Đơn vị</t>
        </is>
      </c>
      <c r="D4" s="3" t="inlineStr">
        <is>
          <t>Định nghĩa ý nghĩa vật lý</t>
        </is>
      </c>
      <c r="E4" s="3" t="inlineStr">
        <is>
          <t>Căn cứ nguồn / Phương pháp</t>
        </is>
      </c>
    </row>
    <row r="5" ht="22" customHeight="1">
      <c r="A5" s="4" t="n">
        <v>1</v>
      </c>
      <c r="B5" s="5" t="inlineStr">
        <is>
          <t>Khoang_Cach_x</t>
        </is>
      </c>
      <c r="C5" s="4" t="inlineStr">
        <is>
          <t>x (m)</t>
        </is>
      </c>
      <c r="D5" s="6" t="inlineStr">
        <is>
          <t>Khoảng cách ngang tính từ tim hầm tuyến</t>
        </is>
      </c>
      <c r="E5" s="7" t="inlineStr">
        <is>
          <t>Hệ trục tọa độ Descartes</t>
        </is>
      </c>
    </row>
    <row r="6" ht="22" customHeight="1">
      <c r="A6" s="8" t="n">
        <v>2</v>
      </c>
      <c r="B6" s="9" t="inlineStr">
        <is>
          <t>Ha_Nuoc_Ngam</t>
        </is>
      </c>
      <c r="C6" s="8" t="inlineStr">
        <is>
          <t>dh (m)</t>
        </is>
      </c>
      <c r="D6" s="10" t="inlineStr">
        <is>
          <t>Mức độ hạ thấp mực nước ngầm do thấm qua khe vỏ hầm</t>
        </is>
      </c>
      <c r="E6" s="11" t="inlineStr">
        <is>
          <t>Lời giải Thiem-Dupuit</t>
        </is>
      </c>
    </row>
    <row r="7" ht="22" customHeight="1">
      <c r="A7" s="4" t="n">
        <v>3</v>
      </c>
      <c r="B7" s="5" t="inlineStr">
        <is>
          <t>Ung_Suat_Tang</t>
        </is>
      </c>
      <c r="C7" s="4" t="inlineStr">
        <is>
          <t>dSigma' (kPa)</t>
        </is>
      </c>
      <c r="D7" s="6" t="inlineStr">
        <is>
          <t>Ứng suất hữu hiệu gia tăng do thoát nước: dSigma' = gamma_w * dh</t>
        </is>
      </c>
      <c r="E7" s="7" t="inlineStr">
        <is>
          <t>Nguyên lý Terzaghi</t>
        </is>
      </c>
    </row>
    <row r="8" ht="22" customHeight="1">
      <c r="A8" s="8" t="n">
        <v>4</v>
      </c>
      <c r="B8" s="9" t="inlineStr">
        <is>
          <t>Lun_Co_Ket</t>
        </is>
      </c>
      <c r="C8" s="8" t="inlineStr">
        <is>
          <t>S_hydro (mm)</t>
        </is>
      </c>
      <c r="D8" s="10" t="inlineStr">
        <is>
          <t>Độ lún cố kết dài hạn của tầng bùn sét mềm hữu cơ dày 12.7m</t>
        </is>
      </c>
      <c r="E8" s="11" t="inlineStr">
        <is>
          <t>Tích phân biến dạng 1D Biot</t>
        </is>
      </c>
    </row>
    <row r="9" ht="22" customHeight="1">
      <c r="A9" s="4" t="n">
        <v>5</v>
      </c>
      <c r="B9" s="5" t="inlineStr">
        <is>
          <t>Lun_Co_Hoc_TBM</t>
        </is>
      </c>
      <c r="C9" s="4" t="inlineStr">
        <is>
          <t>S_tbm (mm)</t>
        </is>
      </c>
      <c r="D9" s="6" t="inlineStr">
        <is>
          <t>Độ lún cơ học tức thời do đào khiên đào TBM</t>
        </is>
      </c>
      <c r="E9" s="7" t="inlineStr">
        <is>
          <t>Loganathan &amp; Poulos 3D</t>
        </is>
      </c>
    </row>
    <row r="10" ht="22" customHeight="1">
      <c r="A10" s="8" t="n">
        <v>6</v>
      </c>
      <c r="B10" s="9" t="inlineStr">
        <is>
          <t>Tong_Do_Lun</t>
        </is>
      </c>
      <c r="C10" s="8" t="inlineStr">
        <is>
          <t>S_total (mm)</t>
        </is>
      </c>
      <c r="D10" s="10" t="inlineStr">
        <is>
          <t>Tổng độ lún mặt đất tại thời điểm t: S_total = S_tbm + S_hydro</t>
        </is>
      </c>
      <c r="E10" s="11" t="inlineStr">
        <is>
          <t>Tổng đại số bảo toàn cơ học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 ht="36" customHeight="1">
      <c r="A1" s="1" t="inlineStr">
        <is>
          <t>TÍNH TOÁN PHÂN RÃ ĐỘ LÚN ĐA TRƯỜNG (TBM + CỐ KẾT THỦY LỰC)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Khoảng cách x (m)</t>
        </is>
      </c>
      <c r="C4" s="3" t="inlineStr">
        <is>
          <t>Hạ mực nước dh (m)</t>
        </is>
      </c>
      <c r="D4" s="3" t="inlineStr">
        <is>
          <t>Tăng ứng suất dSigma' (kPa)</t>
        </is>
      </c>
      <c r="E4" s="3" t="inlineStr">
        <is>
          <t>Lún cố kết S_hydro (mm)</t>
        </is>
      </c>
      <c r="F4" s="3" t="inlineStr">
        <is>
          <t>Lún cơ học TBM (mm)</t>
        </is>
      </c>
      <c r="G4" s="3" t="inlineStr">
        <is>
          <t>TỔNG ĐỘ LÚN S_total (mm)</t>
        </is>
      </c>
    </row>
    <row r="5" ht="20" customHeight="1">
      <c r="A5" s="4" t="n">
        <v>1</v>
      </c>
      <c r="B5" s="4" t="n">
        <v>-40</v>
      </c>
      <c r="C5" s="12">
        <f>2.5*EXP(-(B5^2)/(2*25^2))</f>
        <v/>
      </c>
      <c r="D5" s="13">
        <f>C5*9.81</f>
        <v/>
      </c>
      <c r="E5" s="13">
        <f>D5*0.00045*12.7*1000</f>
        <v/>
      </c>
      <c r="F5" s="13">
        <f>19.7*EXP(-1.38*(B5^2)/(21.15^2))</f>
        <v/>
      </c>
      <c r="G5" s="14">
        <f>E5+F5</f>
        <v/>
      </c>
    </row>
    <row r="6" ht="20" customHeight="1">
      <c r="A6" s="8" t="n">
        <v>2</v>
      </c>
      <c r="B6" s="8" t="n">
        <v>-38</v>
      </c>
      <c r="C6" s="15">
        <f>2.5*EXP(-(B6^2)/(2*25^2))</f>
        <v/>
      </c>
      <c r="D6" s="16">
        <f>C6*9.81</f>
        <v/>
      </c>
      <c r="E6" s="16">
        <f>D6*0.00045*12.7*1000</f>
        <v/>
      </c>
      <c r="F6" s="16">
        <f>19.7*EXP(-1.38*(B6^2)/(21.15^2))</f>
        <v/>
      </c>
      <c r="G6" s="17">
        <f>E6+F6</f>
        <v/>
      </c>
    </row>
    <row r="7" ht="20" customHeight="1">
      <c r="A7" s="4" t="n">
        <v>3</v>
      </c>
      <c r="B7" s="4" t="n">
        <v>-36</v>
      </c>
      <c r="C7" s="12">
        <f>2.5*EXP(-(B7^2)/(2*25^2))</f>
        <v/>
      </c>
      <c r="D7" s="13">
        <f>C7*9.81</f>
        <v/>
      </c>
      <c r="E7" s="13">
        <f>D7*0.00045*12.7*1000</f>
        <v/>
      </c>
      <c r="F7" s="13">
        <f>19.7*EXP(-1.38*(B7^2)/(21.15^2))</f>
        <v/>
      </c>
      <c r="G7" s="14">
        <f>E7+F7</f>
        <v/>
      </c>
    </row>
    <row r="8" ht="20" customHeight="1">
      <c r="A8" s="8" t="n">
        <v>4</v>
      </c>
      <c r="B8" s="8" t="n">
        <v>-34</v>
      </c>
      <c r="C8" s="15">
        <f>2.5*EXP(-(B8^2)/(2*25^2))</f>
        <v/>
      </c>
      <c r="D8" s="16">
        <f>C8*9.81</f>
        <v/>
      </c>
      <c r="E8" s="16">
        <f>D8*0.00045*12.7*1000</f>
        <v/>
      </c>
      <c r="F8" s="16">
        <f>19.7*EXP(-1.38*(B8^2)/(21.15^2))</f>
        <v/>
      </c>
      <c r="G8" s="17">
        <f>E8+F8</f>
        <v/>
      </c>
    </row>
    <row r="9" ht="20" customHeight="1">
      <c r="A9" s="4" t="n">
        <v>5</v>
      </c>
      <c r="B9" s="4" t="n">
        <v>-32</v>
      </c>
      <c r="C9" s="12">
        <f>2.5*EXP(-(B9^2)/(2*25^2))</f>
        <v/>
      </c>
      <c r="D9" s="13">
        <f>C9*9.81</f>
        <v/>
      </c>
      <c r="E9" s="13">
        <f>D9*0.00045*12.7*1000</f>
        <v/>
      </c>
      <c r="F9" s="13">
        <f>19.7*EXP(-1.38*(B9^2)/(21.15^2))</f>
        <v/>
      </c>
      <c r="G9" s="14">
        <f>E9+F9</f>
        <v/>
      </c>
    </row>
    <row r="10" ht="20" customHeight="1">
      <c r="A10" s="8" t="n">
        <v>6</v>
      </c>
      <c r="B10" s="8" t="n">
        <v>-30</v>
      </c>
      <c r="C10" s="15">
        <f>2.5*EXP(-(B10^2)/(2*25^2))</f>
        <v/>
      </c>
      <c r="D10" s="16">
        <f>C10*9.81</f>
        <v/>
      </c>
      <c r="E10" s="16">
        <f>D10*0.00045*12.7*1000</f>
        <v/>
      </c>
      <c r="F10" s="16">
        <f>19.7*EXP(-1.38*(B10^2)/(21.15^2))</f>
        <v/>
      </c>
      <c r="G10" s="17">
        <f>E10+F10</f>
        <v/>
      </c>
    </row>
    <row r="11" ht="20" customHeight="1">
      <c r="A11" s="4" t="n">
        <v>7</v>
      </c>
      <c r="B11" s="4" t="n">
        <v>-28</v>
      </c>
      <c r="C11" s="12">
        <f>2.5*EXP(-(B11^2)/(2*25^2))</f>
        <v/>
      </c>
      <c r="D11" s="13">
        <f>C11*9.81</f>
        <v/>
      </c>
      <c r="E11" s="13">
        <f>D11*0.00045*12.7*1000</f>
        <v/>
      </c>
      <c r="F11" s="13">
        <f>19.7*EXP(-1.38*(B11^2)/(21.15^2))</f>
        <v/>
      </c>
      <c r="G11" s="14">
        <f>E11+F11</f>
        <v/>
      </c>
    </row>
    <row r="12" ht="20" customHeight="1">
      <c r="A12" s="8" t="n">
        <v>8</v>
      </c>
      <c r="B12" s="8" t="n">
        <v>-26</v>
      </c>
      <c r="C12" s="15">
        <f>2.5*EXP(-(B12^2)/(2*25^2))</f>
        <v/>
      </c>
      <c r="D12" s="16">
        <f>C12*9.81</f>
        <v/>
      </c>
      <c r="E12" s="16">
        <f>D12*0.00045*12.7*1000</f>
        <v/>
      </c>
      <c r="F12" s="16">
        <f>19.7*EXP(-1.38*(B12^2)/(21.15^2))</f>
        <v/>
      </c>
      <c r="G12" s="17">
        <f>E12+F12</f>
        <v/>
      </c>
    </row>
    <row r="13" ht="20" customHeight="1">
      <c r="A13" s="4" t="n">
        <v>9</v>
      </c>
      <c r="B13" s="4" t="n">
        <v>-24</v>
      </c>
      <c r="C13" s="12">
        <f>2.5*EXP(-(B13^2)/(2*25^2))</f>
        <v/>
      </c>
      <c r="D13" s="13">
        <f>C13*9.81</f>
        <v/>
      </c>
      <c r="E13" s="13">
        <f>D13*0.00045*12.7*1000</f>
        <v/>
      </c>
      <c r="F13" s="13">
        <f>19.7*EXP(-1.38*(B13^2)/(21.15^2))</f>
        <v/>
      </c>
      <c r="G13" s="14">
        <f>E13+F13</f>
        <v/>
      </c>
    </row>
    <row r="14" ht="20" customHeight="1">
      <c r="A14" s="8" t="n">
        <v>10</v>
      </c>
      <c r="B14" s="8" t="n">
        <v>-22</v>
      </c>
      <c r="C14" s="15">
        <f>2.5*EXP(-(B14^2)/(2*25^2))</f>
        <v/>
      </c>
      <c r="D14" s="16">
        <f>C14*9.81</f>
        <v/>
      </c>
      <c r="E14" s="16">
        <f>D14*0.00045*12.7*1000</f>
        <v/>
      </c>
      <c r="F14" s="16">
        <f>19.7*EXP(-1.38*(B14^2)/(21.15^2))</f>
        <v/>
      </c>
      <c r="G14" s="17">
        <f>E14+F14</f>
        <v/>
      </c>
    </row>
    <row r="15" ht="20" customHeight="1">
      <c r="A15" s="4" t="n">
        <v>11</v>
      </c>
      <c r="B15" s="4" t="n">
        <v>-20</v>
      </c>
      <c r="C15" s="12">
        <f>2.5*EXP(-(B15^2)/(2*25^2))</f>
        <v/>
      </c>
      <c r="D15" s="13">
        <f>C15*9.81</f>
        <v/>
      </c>
      <c r="E15" s="13">
        <f>D15*0.00045*12.7*1000</f>
        <v/>
      </c>
      <c r="F15" s="13">
        <f>19.7*EXP(-1.38*(B15^2)/(21.15^2))</f>
        <v/>
      </c>
      <c r="G15" s="14">
        <f>E15+F15</f>
        <v/>
      </c>
    </row>
    <row r="16" ht="20" customHeight="1">
      <c r="A16" s="8" t="n">
        <v>12</v>
      </c>
      <c r="B16" s="8" t="n">
        <v>-18</v>
      </c>
      <c r="C16" s="15">
        <f>2.5*EXP(-(B16^2)/(2*25^2))</f>
        <v/>
      </c>
      <c r="D16" s="16">
        <f>C16*9.81</f>
        <v/>
      </c>
      <c r="E16" s="16">
        <f>D16*0.00045*12.7*1000</f>
        <v/>
      </c>
      <c r="F16" s="16">
        <f>19.7*EXP(-1.38*(B16^2)/(21.15^2))</f>
        <v/>
      </c>
      <c r="G16" s="17">
        <f>E16+F16</f>
        <v/>
      </c>
    </row>
    <row r="17" ht="20" customHeight="1">
      <c r="A17" s="4" t="n">
        <v>13</v>
      </c>
      <c r="B17" s="4" t="n">
        <v>-16</v>
      </c>
      <c r="C17" s="12">
        <f>2.5*EXP(-(B17^2)/(2*25^2))</f>
        <v/>
      </c>
      <c r="D17" s="13">
        <f>C17*9.81</f>
        <v/>
      </c>
      <c r="E17" s="13">
        <f>D17*0.00045*12.7*1000</f>
        <v/>
      </c>
      <c r="F17" s="13">
        <f>19.7*EXP(-1.38*(B17^2)/(21.15^2))</f>
        <v/>
      </c>
      <c r="G17" s="14">
        <f>E17+F17</f>
        <v/>
      </c>
    </row>
    <row r="18" ht="20" customHeight="1">
      <c r="A18" s="8" t="n">
        <v>14</v>
      </c>
      <c r="B18" s="8" t="n">
        <v>-14</v>
      </c>
      <c r="C18" s="15">
        <f>2.5*EXP(-(B18^2)/(2*25^2))</f>
        <v/>
      </c>
      <c r="D18" s="16">
        <f>C18*9.81</f>
        <v/>
      </c>
      <c r="E18" s="16">
        <f>D18*0.00045*12.7*1000</f>
        <v/>
      </c>
      <c r="F18" s="16">
        <f>19.7*EXP(-1.38*(B18^2)/(21.15^2))</f>
        <v/>
      </c>
      <c r="G18" s="17">
        <f>E18+F18</f>
        <v/>
      </c>
    </row>
    <row r="19" ht="20" customHeight="1">
      <c r="A19" s="4" t="n">
        <v>15</v>
      </c>
      <c r="B19" s="4" t="n">
        <v>-12</v>
      </c>
      <c r="C19" s="12">
        <f>2.5*EXP(-(B19^2)/(2*25^2))</f>
        <v/>
      </c>
      <c r="D19" s="13">
        <f>C19*9.81</f>
        <v/>
      </c>
      <c r="E19" s="13">
        <f>D19*0.00045*12.7*1000</f>
        <v/>
      </c>
      <c r="F19" s="13">
        <f>19.7*EXP(-1.38*(B19^2)/(21.15^2))</f>
        <v/>
      </c>
      <c r="G19" s="14">
        <f>E19+F19</f>
        <v/>
      </c>
    </row>
    <row r="20" ht="20" customHeight="1">
      <c r="A20" s="8" t="n">
        <v>16</v>
      </c>
      <c r="B20" s="8" t="n">
        <v>-10</v>
      </c>
      <c r="C20" s="15">
        <f>2.5*EXP(-(B20^2)/(2*25^2))</f>
        <v/>
      </c>
      <c r="D20" s="16">
        <f>C20*9.81</f>
        <v/>
      </c>
      <c r="E20" s="16">
        <f>D20*0.00045*12.7*1000</f>
        <v/>
      </c>
      <c r="F20" s="16">
        <f>19.7*EXP(-1.38*(B20^2)/(21.15^2))</f>
        <v/>
      </c>
      <c r="G20" s="17">
        <f>E20+F20</f>
        <v/>
      </c>
    </row>
    <row r="21" ht="20" customHeight="1">
      <c r="A21" s="4" t="n">
        <v>17</v>
      </c>
      <c r="B21" s="4" t="n">
        <v>-8</v>
      </c>
      <c r="C21" s="12">
        <f>2.5*EXP(-(B21^2)/(2*25^2))</f>
        <v/>
      </c>
      <c r="D21" s="13">
        <f>C21*9.81</f>
        <v/>
      </c>
      <c r="E21" s="13">
        <f>D21*0.00045*12.7*1000</f>
        <v/>
      </c>
      <c r="F21" s="13">
        <f>19.7*EXP(-1.38*(B21^2)/(21.15^2))</f>
        <v/>
      </c>
      <c r="G21" s="14">
        <f>E21+F21</f>
        <v/>
      </c>
    </row>
    <row r="22" ht="20" customHeight="1">
      <c r="A22" s="8" t="n">
        <v>18</v>
      </c>
      <c r="B22" s="8" t="n">
        <v>-6</v>
      </c>
      <c r="C22" s="15">
        <f>2.5*EXP(-(B22^2)/(2*25^2))</f>
        <v/>
      </c>
      <c r="D22" s="16">
        <f>C22*9.81</f>
        <v/>
      </c>
      <c r="E22" s="16">
        <f>D22*0.00045*12.7*1000</f>
        <v/>
      </c>
      <c r="F22" s="16">
        <f>19.7*EXP(-1.38*(B22^2)/(21.15^2))</f>
        <v/>
      </c>
      <c r="G22" s="17">
        <f>E22+F22</f>
        <v/>
      </c>
    </row>
    <row r="23" ht="20" customHeight="1">
      <c r="A23" s="4" t="n">
        <v>19</v>
      </c>
      <c r="B23" s="4" t="n">
        <v>-4</v>
      </c>
      <c r="C23" s="12">
        <f>2.5*EXP(-(B23^2)/(2*25^2))</f>
        <v/>
      </c>
      <c r="D23" s="13">
        <f>C23*9.81</f>
        <v/>
      </c>
      <c r="E23" s="13">
        <f>D23*0.00045*12.7*1000</f>
        <v/>
      </c>
      <c r="F23" s="13">
        <f>19.7*EXP(-1.38*(B23^2)/(21.15^2))</f>
        <v/>
      </c>
      <c r="G23" s="14">
        <f>E23+F23</f>
        <v/>
      </c>
    </row>
    <row r="24" ht="20" customHeight="1">
      <c r="A24" s="8" t="n">
        <v>20</v>
      </c>
      <c r="B24" s="8" t="n">
        <v>-2</v>
      </c>
      <c r="C24" s="15">
        <f>2.5*EXP(-(B24^2)/(2*25^2))</f>
        <v/>
      </c>
      <c r="D24" s="16">
        <f>C24*9.81</f>
        <v/>
      </c>
      <c r="E24" s="16">
        <f>D24*0.00045*12.7*1000</f>
        <v/>
      </c>
      <c r="F24" s="16">
        <f>19.7*EXP(-1.38*(B24^2)/(21.15^2))</f>
        <v/>
      </c>
      <c r="G24" s="17">
        <f>E24+F24</f>
        <v/>
      </c>
    </row>
    <row r="25" ht="20" customHeight="1">
      <c r="A25" s="4" t="n">
        <v>21</v>
      </c>
      <c r="B25" s="4" t="n">
        <v>0</v>
      </c>
      <c r="C25" s="12">
        <f>2.5*EXP(-(B25^2)/(2*25^2))</f>
        <v/>
      </c>
      <c r="D25" s="13">
        <f>C25*9.81</f>
        <v/>
      </c>
      <c r="E25" s="13">
        <f>D25*0.00045*12.7*1000</f>
        <v/>
      </c>
      <c r="F25" s="13">
        <f>19.7*EXP(-1.38*(B25^2)/(21.15^2))</f>
        <v/>
      </c>
      <c r="G25" s="14">
        <f>E25+F25</f>
        <v/>
      </c>
    </row>
    <row r="26" ht="20" customHeight="1">
      <c r="A26" s="8" t="n">
        <v>22</v>
      </c>
      <c r="B26" s="8" t="n">
        <v>2</v>
      </c>
      <c r="C26" s="15">
        <f>2.5*EXP(-(B26^2)/(2*25^2))</f>
        <v/>
      </c>
      <c r="D26" s="16">
        <f>C26*9.81</f>
        <v/>
      </c>
      <c r="E26" s="16">
        <f>D26*0.00045*12.7*1000</f>
        <v/>
      </c>
      <c r="F26" s="16">
        <f>19.7*EXP(-1.38*(B26^2)/(21.15^2))</f>
        <v/>
      </c>
      <c r="G26" s="17">
        <f>E26+F26</f>
        <v/>
      </c>
    </row>
    <row r="27" ht="20" customHeight="1">
      <c r="A27" s="4" t="n">
        <v>23</v>
      </c>
      <c r="B27" s="4" t="n">
        <v>4</v>
      </c>
      <c r="C27" s="12">
        <f>2.5*EXP(-(B27^2)/(2*25^2))</f>
        <v/>
      </c>
      <c r="D27" s="13">
        <f>C27*9.81</f>
        <v/>
      </c>
      <c r="E27" s="13">
        <f>D27*0.00045*12.7*1000</f>
        <v/>
      </c>
      <c r="F27" s="13">
        <f>19.7*EXP(-1.38*(B27^2)/(21.15^2))</f>
        <v/>
      </c>
      <c r="G27" s="14">
        <f>E27+F27</f>
        <v/>
      </c>
    </row>
    <row r="28" ht="20" customHeight="1">
      <c r="A28" s="8" t="n">
        <v>24</v>
      </c>
      <c r="B28" s="8" t="n">
        <v>6</v>
      </c>
      <c r="C28" s="15">
        <f>2.5*EXP(-(B28^2)/(2*25^2))</f>
        <v/>
      </c>
      <c r="D28" s="16">
        <f>C28*9.81</f>
        <v/>
      </c>
      <c r="E28" s="16">
        <f>D28*0.00045*12.7*1000</f>
        <v/>
      </c>
      <c r="F28" s="16">
        <f>19.7*EXP(-1.38*(B28^2)/(21.15^2))</f>
        <v/>
      </c>
      <c r="G28" s="17">
        <f>E28+F28</f>
        <v/>
      </c>
    </row>
    <row r="29" ht="20" customHeight="1">
      <c r="A29" s="4" t="n">
        <v>25</v>
      </c>
      <c r="B29" s="4" t="n">
        <v>8</v>
      </c>
      <c r="C29" s="12">
        <f>2.5*EXP(-(B29^2)/(2*25^2))</f>
        <v/>
      </c>
      <c r="D29" s="13">
        <f>C29*9.81</f>
        <v/>
      </c>
      <c r="E29" s="13">
        <f>D29*0.00045*12.7*1000</f>
        <v/>
      </c>
      <c r="F29" s="13">
        <f>19.7*EXP(-1.38*(B29^2)/(21.15^2))</f>
        <v/>
      </c>
      <c r="G29" s="14">
        <f>E29+F29</f>
        <v/>
      </c>
    </row>
    <row r="30" ht="20" customHeight="1">
      <c r="A30" s="8" t="n">
        <v>26</v>
      </c>
      <c r="B30" s="8" t="n">
        <v>10</v>
      </c>
      <c r="C30" s="15">
        <f>2.5*EXP(-(B30^2)/(2*25^2))</f>
        <v/>
      </c>
      <c r="D30" s="16">
        <f>C30*9.81</f>
        <v/>
      </c>
      <c r="E30" s="16">
        <f>D30*0.00045*12.7*1000</f>
        <v/>
      </c>
      <c r="F30" s="16">
        <f>19.7*EXP(-1.38*(B30^2)/(21.15^2))</f>
        <v/>
      </c>
      <c r="G30" s="17">
        <f>E30+F30</f>
        <v/>
      </c>
    </row>
    <row r="31" ht="20" customHeight="1">
      <c r="A31" s="4" t="n">
        <v>27</v>
      </c>
      <c r="B31" s="4" t="n">
        <v>12</v>
      </c>
      <c r="C31" s="12">
        <f>2.5*EXP(-(B31^2)/(2*25^2))</f>
        <v/>
      </c>
      <c r="D31" s="13">
        <f>C31*9.81</f>
        <v/>
      </c>
      <c r="E31" s="13">
        <f>D31*0.00045*12.7*1000</f>
        <v/>
      </c>
      <c r="F31" s="13">
        <f>19.7*EXP(-1.38*(B31^2)/(21.15^2))</f>
        <v/>
      </c>
      <c r="G31" s="14">
        <f>E31+F31</f>
        <v/>
      </c>
    </row>
    <row r="32" ht="20" customHeight="1">
      <c r="A32" s="8" t="n">
        <v>28</v>
      </c>
      <c r="B32" s="8" t="n">
        <v>14</v>
      </c>
      <c r="C32" s="15">
        <f>2.5*EXP(-(B32^2)/(2*25^2))</f>
        <v/>
      </c>
      <c r="D32" s="16">
        <f>C32*9.81</f>
        <v/>
      </c>
      <c r="E32" s="16">
        <f>D32*0.00045*12.7*1000</f>
        <v/>
      </c>
      <c r="F32" s="16">
        <f>19.7*EXP(-1.38*(B32^2)/(21.15^2))</f>
        <v/>
      </c>
      <c r="G32" s="17">
        <f>E32+F32</f>
        <v/>
      </c>
    </row>
    <row r="33" ht="20" customHeight="1">
      <c r="A33" s="4" t="n">
        <v>29</v>
      </c>
      <c r="B33" s="4" t="n">
        <v>16</v>
      </c>
      <c r="C33" s="12">
        <f>2.5*EXP(-(B33^2)/(2*25^2))</f>
        <v/>
      </c>
      <c r="D33" s="13">
        <f>C33*9.81</f>
        <v/>
      </c>
      <c r="E33" s="13">
        <f>D33*0.00045*12.7*1000</f>
        <v/>
      </c>
      <c r="F33" s="13">
        <f>19.7*EXP(-1.38*(B33^2)/(21.15^2))</f>
        <v/>
      </c>
      <c r="G33" s="14">
        <f>E33+F33</f>
        <v/>
      </c>
    </row>
    <row r="34" ht="20" customHeight="1">
      <c r="A34" s="8" t="n">
        <v>30</v>
      </c>
      <c r="B34" s="8" t="n">
        <v>18</v>
      </c>
      <c r="C34" s="15">
        <f>2.5*EXP(-(B34^2)/(2*25^2))</f>
        <v/>
      </c>
      <c r="D34" s="16">
        <f>C34*9.81</f>
        <v/>
      </c>
      <c r="E34" s="16">
        <f>D34*0.00045*12.7*1000</f>
        <v/>
      </c>
      <c r="F34" s="16">
        <f>19.7*EXP(-1.38*(B34^2)/(21.15^2))</f>
        <v/>
      </c>
      <c r="G34" s="17">
        <f>E34+F34</f>
        <v/>
      </c>
    </row>
    <row r="35" ht="20" customHeight="1">
      <c r="A35" s="4" t="n">
        <v>31</v>
      </c>
      <c r="B35" s="4" t="n">
        <v>20</v>
      </c>
      <c r="C35" s="12">
        <f>2.5*EXP(-(B35^2)/(2*25^2))</f>
        <v/>
      </c>
      <c r="D35" s="13">
        <f>C35*9.81</f>
        <v/>
      </c>
      <c r="E35" s="13">
        <f>D35*0.00045*12.7*1000</f>
        <v/>
      </c>
      <c r="F35" s="13">
        <f>19.7*EXP(-1.38*(B35^2)/(21.15^2))</f>
        <v/>
      </c>
      <c r="G35" s="14">
        <f>E35+F35</f>
        <v/>
      </c>
    </row>
    <row r="36" ht="20" customHeight="1">
      <c r="A36" s="8" t="n">
        <v>32</v>
      </c>
      <c r="B36" s="8" t="n">
        <v>22</v>
      </c>
      <c r="C36" s="15">
        <f>2.5*EXP(-(B36^2)/(2*25^2))</f>
        <v/>
      </c>
      <c r="D36" s="16">
        <f>C36*9.81</f>
        <v/>
      </c>
      <c r="E36" s="16">
        <f>D36*0.00045*12.7*1000</f>
        <v/>
      </c>
      <c r="F36" s="16">
        <f>19.7*EXP(-1.38*(B36^2)/(21.15^2))</f>
        <v/>
      </c>
      <c r="G36" s="17">
        <f>E36+F36</f>
        <v/>
      </c>
    </row>
    <row r="37" ht="20" customHeight="1">
      <c r="A37" s="4" t="n">
        <v>33</v>
      </c>
      <c r="B37" s="4" t="n">
        <v>24</v>
      </c>
      <c r="C37" s="12">
        <f>2.5*EXP(-(B37^2)/(2*25^2))</f>
        <v/>
      </c>
      <c r="D37" s="13">
        <f>C37*9.81</f>
        <v/>
      </c>
      <c r="E37" s="13">
        <f>D37*0.00045*12.7*1000</f>
        <v/>
      </c>
      <c r="F37" s="13">
        <f>19.7*EXP(-1.38*(B37^2)/(21.15^2))</f>
        <v/>
      </c>
      <c r="G37" s="14">
        <f>E37+F37</f>
        <v/>
      </c>
    </row>
    <row r="38" ht="20" customHeight="1">
      <c r="A38" s="8" t="n">
        <v>34</v>
      </c>
      <c r="B38" s="8" t="n">
        <v>26</v>
      </c>
      <c r="C38" s="15">
        <f>2.5*EXP(-(B38^2)/(2*25^2))</f>
        <v/>
      </c>
      <c r="D38" s="16">
        <f>C38*9.81</f>
        <v/>
      </c>
      <c r="E38" s="16">
        <f>D38*0.00045*12.7*1000</f>
        <v/>
      </c>
      <c r="F38" s="16">
        <f>19.7*EXP(-1.38*(B38^2)/(21.15^2))</f>
        <v/>
      </c>
      <c r="G38" s="17">
        <f>E38+F38</f>
        <v/>
      </c>
    </row>
    <row r="39" ht="20" customHeight="1">
      <c r="A39" s="4" t="n">
        <v>35</v>
      </c>
      <c r="B39" s="4" t="n">
        <v>28</v>
      </c>
      <c r="C39" s="12">
        <f>2.5*EXP(-(B39^2)/(2*25^2))</f>
        <v/>
      </c>
      <c r="D39" s="13">
        <f>C39*9.81</f>
        <v/>
      </c>
      <c r="E39" s="13">
        <f>D39*0.00045*12.7*1000</f>
        <v/>
      </c>
      <c r="F39" s="13">
        <f>19.7*EXP(-1.38*(B39^2)/(21.15^2))</f>
        <v/>
      </c>
      <c r="G39" s="14">
        <f>E39+F39</f>
        <v/>
      </c>
    </row>
    <row r="40" ht="20" customHeight="1">
      <c r="A40" s="8" t="n">
        <v>36</v>
      </c>
      <c r="B40" s="8" t="n">
        <v>30</v>
      </c>
      <c r="C40" s="15">
        <f>2.5*EXP(-(B40^2)/(2*25^2))</f>
        <v/>
      </c>
      <c r="D40" s="16">
        <f>C40*9.81</f>
        <v/>
      </c>
      <c r="E40" s="16">
        <f>D40*0.00045*12.7*1000</f>
        <v/>
      </c>
      <c r="F40" s="16">
        <f>19.7*EXP(-1.38*(B40^2)/(21.15^2))</f>
        <v/>
      </c>
      <c r="G40" s="17">
        <f>E40+F40</f>
        <v/>
      </c>
    </row>
    <row r="41" ht="20" customHeight="1">
      <c r="A41" s="4" t="n">
        <v>37</v>
      </c>
      <c r="B41" s="4" t="n">
        <v>32</v>
      </c>
      <c r="C41" s="12">
        <f>2.5*EXP(-(B41^2)/(2*25^2))</f>
        <v/>
      </c>
      <c r="D41" s="13">
        <f>C41*9.81</f>
        <v/>
      </c>
      <c r="E41" s="13">
        <f>D41*0.00045*12.7*1000</f>
        <v/>
      </c>
      <c r="F41" s="13">
        <f>19.7*EXP(-1.38*(B41^2)/(21.15^2))</f>
        <v/>
      </c>
      <c r="G41" s="14">
        <f>E41+F41</f>
        <v/>
      </c>
    </row>
    <row r="42" ht="20" customHeight="1">
      <c r="A42" s="8" t="n">
        <v>38</v>
      </c>
      <c r="B42" s="8" t="n">
        <v>34</v>
      </c>
      <c r="C42" s="15">
        <f>2.5*EXP(-(B42^2)/(2*25^2))</f>
        <v/>
      </c>
      <c r="D42" s="16">
        <f>C42*9.81</f>
        <v/>
      </c>
      <c r="E42" s="16">
        <f>D42*0.00045*12.7*1000</f>
        <v/>
      </c>
      <c r="F42" s="16">
        <f>19.7*EXP(-1.38*(B42^2)/(21.15^2))</f>
        <v/>
      </c>
      <c r="G42" s="17">
        <f>E42+F42</f>
        <v/>
      </c>
    </row>
    <row r="43" ht="20" customHeight="1">
      <c r="A43" s="4" t="n">
        <v>39</v>
      </c>
      <c r="B43" s="4" t="n">
        <v>36</v>
      </c>
      <c r="C43" s="12">
        <f>2.5*EXP(-(B43^2)/(2*25^2))</f>
        <v/>
      </c>
      <c r="D43" s="13">
        <f>C43*9.81</f>
        <v/>
      </c>
      <c r="E43" s="13">
        <f>D43*0.00045*12.7*1000</f>
        <v/>
      </c>
      <c r="F43" s="13">
        <f>19.7*EXP(-1.38*(B43^2)/(21.15^2))</f>
        <v/>
      </c>
      <c r="G43" s="14">
        <f>E43+F43</f>
        <v/>
      </c>
    </row>
    <row r="44" ht="20" customHeight="1">
      <c r="A44" s="8" t="n">
        <v>40</v>
      </c>
      <c r="B44" s="8" t="n">
        <v>38</v>
      </c>
      <c r="C44" s="15">
        <f>2.5*EXP(-(B44^2)/(2*25^2))</f>
        <v/>
      </c>
      <c r="D44" s="16">
        <f>C44*9.81</f>
        <v/>
      </c>
      <c r="E44" s="16">
        <f>D44*0.00045*12.7*1000</f>
        <v/>
      </c>
      <c r="F44" s="16">
        <f>19.7*EXP(-1.38*(B44^2)/(21.15^2))</f>
        <v/>
      </c>
      <c r="G44" s="17">
        <f>E44+F44</f>
        <v/>
      </c>
    </row>
    <row r="45" ht="20" customHeight="1">
      <c r="A45" s="4" t="n">
        <v>41</v>
      </c>
      <c r="B45" s="4" t="n">
        <v>40</v>
      </c>
      <c r="C45" s="12">
        <f>2.5*EXP(-(B45^2)/(2*25^2))</f>
        <v/>
      </c>
      <c r="D45" s="13">
        <f>C45*9.81</f>
        <v/>
      </c>
      <c r="E45" s="13">
        <f>D45*0.00045*12.7*1000</f>
        <v/>
      </c>
      <c r="F45" s="13">
        <f>19.7*EXP(-1.38*(B45^2)/(21.15^2))</f>
        <v/>
      </c>
      <c r="G45" s="14">
        <f>E45+F45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2026-10-15T05:16:14Z</dcterms:created>
  <dcterms:modified xmlns:dcterms="http://purl.org/dc/terms/" xmlns:xsi="http://www.w3.org/2001/XMLSchema-instance" xsi:type="dcterms:W3CDTF">2026-10-15T05:16:14Z</dcterms:modified>
</cp:coreProperties>
</file>