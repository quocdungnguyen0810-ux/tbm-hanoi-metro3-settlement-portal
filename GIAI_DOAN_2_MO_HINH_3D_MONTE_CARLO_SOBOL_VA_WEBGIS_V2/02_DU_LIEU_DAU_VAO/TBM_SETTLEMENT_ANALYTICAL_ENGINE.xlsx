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oi_Thieu_Va_Cong_Thuc" sheetId="1" state="visible" r:id="rId1"/>
    <sheet xmlns:r="http://schemas.openxmlformats.org/officeDocument/2006/relationships" name="Bang_21_Kich_Ban_Tong_Hop" sheetId="2" state="visible" r:id="rId2"/>
    <sheet xmlns:r="http://schemas.openxmlformats.org/officeDocument/2006/relationships" name="Profile_Ngang_S9_S10" sheetId="3" state="visible" r:id="rId3"/>
    <sheet xmlns:r="http://schemas.openxmlformats.org/officeDocument/2006/relationships" name="Profile_Ngang_S11_S12" sheetId="4" state="visible" r:id="rId4"/>
    <sheet xmlns:r="http://schemas.openxmlformats.org/officeDocument/2006/relationships" name="Tieu_Chuan_Hu_Hong_Burla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4A607A"/>
      <sz val="11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D47A1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0F4F8"/>
        <bgColor rgb="00F0F4F8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</fills>
  <borders count="3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FFFFFF"/>
      </left>
      <right style="thin">
        <color rgb="00FFFFFF"/>
      </right>
      <top style="medium">
        <color rgb="001B365D"/>
      </top>
      <bottom style="medium">
        <color rgb="001B365D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3" borderId="1" pivotButton="0" quotePrefix="0" xfId="0"/>
    <xf numFmtId="0" fontId="5" fillId="3" borderId="1" pivotButton="0" quotePrefix="0" xfId="0"/>
    <xf numFmtId="0" fontId="6" fillId="3" borderId="1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2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right" vertical="center"/>
    </xf>
    <xf numFmtId="2" fontId="0" fillId="3" borderId="1" applyAlignment="1" pivotButton="0" quotePrefix="0" xfId="0">
      <alignment horizontal="right" vertical="center"/>
    </xf>
    <xf numFmtId="166" fontId="0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right" vertical="center"/>
    </xf>
    <xf numFmtId="2" fontId="6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5" customWidth="1" min="2" max="2"/>
    <col width="55" customWidth="1" min="3" max="3"/>
    <col width="55" customWidth="1" min="4" max="4"/>
  </cols>
  <sheetData>
    <row r="1"/>
    <row r="2">
      <c r="B2" s="1" t="inlineStr">
        <is>
          <t>MÔ HÌNH TOÁN GIẢI TÍCH DỰ BÁO LÚN BỀ MẶT DO THI CÔNG KHIÊN ĐÀO TBM</t>
        </is>
      </c>
    </row>
    <row r="3">
      <c r="B3" s="2" t="inlineStr">
        <is>
          <t>Tổng hợp công thức Peck (1969), Loganathan &amp; Poulos (1998) và Siêu vị Hầm đôi</t>
        </is>
      </c>
    </row>
    <row r="4"/>
    <row r="5">
      <c r="B5" s="3" t="inlineStr">
        <is>
          <t>Hạng mục mô hình</t>
        </is>
      </c>
      <c r="C5" s="3" t="inlineStr">
        <is>
          <t>Phương trình toán học / Công thức Excel</t>
        </is>
      </c>
      <c r="D5" s="3" t="inlineStr">
        <is>
          <t>Ý nghĩa vật lý &amp; Ứng dụng</t>
        </is>
      </c>
    </row>
    <row r="6">
      <c r="B6" s="4" t="inlineStr">
        <is>
          <t>1. Mô hình Phễu lún Gaussian (Peck, 1969)</t>
        </is>
      </c>
      <c r="C6" s="5" t="inlineStr">
        <is>
          <t>S(x) = S_max * EXP(-x^2 / (2 * i^2))</t>
        </is>
      </c>
      <c r="D6" s="6" t="inlineStr">
        <is>
          <t>Phân bố chuẩn bề mặt đất ngang tim hầm</t>
        </is>
      </c>
    </row>
    <row r="7">
      <c r="B7" s="7" t="inlineStr">
        <is>
          <t>2. Khoảng cách điểm uốn i (O'Reilly &amp; New, 1982)</t>
        </is>
      </c>
      <c r="C7" s="8" t="inlineStr">
        <is>
          <t>i = K * z0</t>
        </is>
      </c>
      <c r="D7" s="9" t="inlineStr">
        <is>
          <t>K phụ thuộc loại đất (0.4 - 0.7); z0 là độ sâu tim hầm</t>
        </is>
      </c>
    </row>
    <row r="8">
      <c r="B8" s="4" t="inlineStr">
        <is>
          <t>3. Thể tích phễu lún đơn vị Vs</t>
        </is>
      </c>
      <c r="C8" s="5" t="inlineStr">
        <is>
          <t>Vs = SQRT(2 * PI()) * i * S_max</t>
        </is>
      </c>
      <c r="D8" s="6" t="inlineStr">
        <is>
          <t>Tích phân diện tích phễu lún ngang</t>
        </is>
      </c>
    </row>
    <row r="9">
      <c r="B9" s="7" t="inlineStr">
        <is>
          <t>4. Thể tích tổn thất đất đơn vị Vloss</t>
        </is>
      </c>
      <c r="C9" s="8" t="inlineStr">
        <is>
          <t>Vloss = VL * (PI() * D^2 / 4)</t>
        </is>
      </c>
      <c r="D9" s="9" t="inlineStr">
        <is>
          <t>VL là tỷ lệ tổn thất thể tích (0.5% - 2.0%)</t>
        </is>
      </c>
    </row>
    <row r="10">
      <c r="B10" s="4" t="inlineStr">
        <is>
          <t>5. Độ lún cực đại hầm đơn Smax_single</t>
        </is>
      </c>
      <c r="C10" s="5" t="inlineStr">
        <is>
          <t>Smax = Vloss / (SQRT(2 * PI()) * i)</t>
        </is>
      </c>
      <c r="D10" s="6" t="inlineStr">
        <is>
          <t>Bảo toàn thể tích trong điều kiện không thoát nước</t>
        </is>
      </c>
    </row>
    <row r="11">
      <c r="B11" s="7" t="inlineStr">
        <is>
          <t>6. Mô hình Loganathan &amp; Poulos (1998) tại z=0</t>
        </is>
      </c>
      <c r="C11" s="8" t="inlineStr">
        <is>
          <t>S_LP(x) = VL * (R^2) * (4*(1-nu)*z0 / (x^2 + z0^2)) * EXP(-1.38*x^2 / (z0 + R)^2)</t>
        </is>
      </c>
      <c r="D11" s="9" t="inlineStr">
        <is>
          <t>Mô hình giải tích đàn hồi có xét tới độ sâu và bán kính hầm</t>
        </is>
      </c>
    </row>
    <row r="12">
      <c r="B12" s="4" t="inlineStr">
        <is>
          <t>7. Nguyên lý Siêu vị Hầm đôi (Twin Tunnel)</t>
        </is>
      </c>
      <c r="C12" s="5" t="inlineStr">
        <is>
          <t>S_twin(x) = S_left(x + d/2) + S_right(x - d/2)</t>
        </is>
      </c>
      <c r="D12" s="6" t="inlineStr">
        <is>
          <t>Khoảng cách tim 2 hầm song song d = 13.0m</t>
        </is>
      </c>
    </row>
    <row r="13">
      <c r="B13" s="7" t="inlineStr">
        <is>
          <t>8. Độ dốc phễu lún (Ground Slope / Tilt)</t>
        </is>
      </c>
      <c r="C13" s="8" t="inlineStr">
        <is>
          <t>theta(x) = |dS/dx| = (x / i^2) * S(x)</t>
        </is>
      </c>
      <c r="D13" s="9" t="inlineStr">
        <is>
          <t>Độ nghiêng gây ứng suất cắt trong kết cấu móng</t>
        </is>
      </c>
    </row>
    <row r="14">
      <c r="B14" s="4" t="inlineStr">
        <is>
          <t>9. Độ dốc cực đại theta_max (tại x = i)</t>
        </is>
      </c>
      <c r="C14" s="5" t="inlineStr">
        <is>
          <t>theta_max = S_max / (i * SQRT(EXP(1))) = 0.6065 * S_max / i</t>
        </is>
      </c>
      <c r="D14" s="6" t="inlineStr">
        <is>
          <t>Nguy cơ xoay chuyển vị móng công trình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5" customWidth="1" min="2" max="2"/>
    <col width="33" customWidth="1" min="3" max="3"/>
    <col width="11" customWidth="1" min="4" max="4"/>
    <col width="11" customWidth="1" min="5" max="5"/>
    <col width="15" customWidth="1" min="6" max="6"/>
    <col width="12" customWidth="1" min="7" max="7"/>
    <col width="13" customWidth="1" min="8" max="8"/>
    <col width="11" customWidth="1" min="9" max="9"/>
    <col width="21" customWidth="1" min="10" max="10"/>
    <col width="15" customWidth="1" min="11" max="11"/>
    <col width="36" customWidth="1" min="12" max="12"/>
    <col width="38" customWidth="1" min="13" max="13"/>
    <col width="51" customWidth="1" min="14" max="14"/>
    <col width="35" customWidth="1" min="15" max="15"/>
    <col width="44" customWidth="1" min="16" max="16"/>
    <col width="55" customWidth="1" min="17" max="17"/>
  </cols>
  <sheetData>
    <row r="1"/>
    <row r="2">
      <c r="B2" s="1" t="inlineStr">
        <is>
          <t>BẢNG TỔNG HỢP 21 KỊCH BẢN ĐỘ NHẠY LÚN MẶT ĐẤT HẦM ĐÔI TBM (S9–S12)</t>
        </is>
      </c>
    </row>
    <row r="3">
      <c r="B3" s="2" t="inlineStr">
        <is>
          <t>Tính toán tự động bằng công thức Excel trực tiếp từ phương trình bảo toàn thể tích</t>
        </is>
      </c>
    </row>
    <row r="4"/>
    <row r="5">
      <c r="B5" s="10" t="inlineStr">
        <is>
          <t>Mã kịch bản</t>
        </is>
      </c>
      <c r="C5" s="10" t="inlineStr">
        <is>
          <t>Đoạn mặt cắt</t>
        </is>
      </c>
      <c r="D5" s="10" t="inlineStr">
        <is>
          <t>z0 (m)</t>
        </is>
      </c>
      <c r="E5" s="10" t="inlineStr">
        <is>
          <t>K</t>
        </is>
      </c>
      <c r="F5" s="10" t="inlineStr">
        <is>
          <t>i = K*z0 (m)</t>
        </is>
      </c>
      <c r="G5" s="10" t="inlineStr">
        <is>
          <t>VL (%)</t>
        </is>
      </c>
      <c r="H5" s="10" t="inlineStr">
        <is>
          <t>VL (tỷ số)</t>
        </is>
      </c>
      <c r="I5" s="10" t="inlineStr">
        <is>
          <t>D (m)</t>
        </is>
      </c>
      <c r="J5" s="10" t="inlineStr">
        <is>
          <t>At (m²)</t>
        </is>
      </c>
      <c r="K5" s="10" t="inlineStr">
        <is>
          <t>Vloss (m³/m)</t>
        </is>
      </c>
      <c r="L5" s="10" t="inlineStr">
        <is>
          <t>Smax Peck Đơn (mm)</t>
        </is>
      </c>
      <c r="M5" s="10" t="inlineStr">
        <is>
          <t>Smax Peck Đôi (mm)</t>
        </is>
      </c>
      <c r="N5" s="10" t="inlineStr">
        <is>
          <t>Smax LP Đơn (mm)</t>
        </is>
      </c>
      <c r="O5" s="10" t="inlineStr">
        <is>
          <t>Độ dốc cực đại (10^-3)</t>
        </is>
      </c>
      <c r="P5" s="10" t="inlineStr">
        <is>
          <t>Bề rộng lún &gt;5mm (m)</t>
        </is>
      </c>
      <c r="Q5" s="10" t="inlineStr">
        <is>
          <t>Cấp rủi ro kết cấu</t>
        </is>
      </c>
    </row>
    <row r="6">
      <c r="B6" s="11" t="inlineStr">
        <is>
          <t>SC-01</t>
        </is>
      </c>
      <c r="C6" s="12" t="inlineStr">
        <is>
          <t>S9–S10 (Kim Mã - Cát Linh)</t>
        </is>
      </c>
      <c r="D6" s="11" t="n">
        <v>15</v>
      </c>
      <c r="E6" s="11" t="n">
        <v>0.5</v>
      </c>
      <c r="F6" s="13">
        <f>D6*E6</f>
        <v/>
      </c>
      <c r="G6" s="14" t="n">
        <v>0.005</v>
      </c>
      <c r="H6" s="15">
        <f>G6</f>
        <v/>
      </c>
      <c r="I6" s="13" t="n">
        <v>6.3</v>
      </c>
      <c r="J6" s="13">
        <f>PI()*(I6^2)/4</f>
        <v/>
      </c>
      <c r="K6" s="16">
        <f>H6*J6</f>
        <v/>
      </c>
      <c r="L6" s="17">
        <f>(K6/(SQRT(2*PI())*F6))*1000</f>
        <v/>
      </c>
      <c r="M6" s="17">
        <f>2*L6*EXP(-(6.5^2)/(2*(F6^2)))</f>
        <v/>
      </c>
      <c r="N6" s="18">
        <f>(H6*(3.15^2)*(4*(1-0.32)*D6/(D6^2)))*1000</f>
        <v/>
      </c>
      <c r="O6" s="18">
        <f>(0.6065*(L6/1000)/F6)*1000</f>
        <v/>
      </c>
      <c r="P6" s="19">
        <f>IF(L6&lt;5, 0, 2*F6*SQRT(2*LN(L6/5)))</f>
        <v/>
      </c>
      <c r="Q6" s="20">
        <f>IF(M6&lt;15, "Nhẹ (Slight)", IF(M6&lt;30, "Vừa (Moderate)", "Nguy hại (Severe)"))</f>
        <v/>
      </c>
    </row>
    <row r="7">
      <c r="B7" s="21" t="inlineStr">
        <is>
          <t>SC-02</t>
        </is>
      </c>
      <c r="C7" s="22" t="inlineStr">
        <is>
          <t>S9–S10 (Kim Mã - Cát Linh)</t>
        </is>
      </c>
      <c r="D7" s="21" t="n">
        <v>15</v>
      </c>
      <c r="E7" s="21" t="n">
        <v>0.5</v>
      </c>
      <c r="F7" s="23">
        <f>D7*E7</f>
        <v/>
      </c>
      <c r="G7" s="24" t="n">
        <v>0.0075</v>
      </c>
      <c r="H7" s="25">
        <f>G7</f>
        <v/>
      </c>
      <c r="I7" s="23" t="n">
        <v>6.3</v>
      </c>
      <c r="J7" s="23">
        <f>PI()*(I7^2)/4</f>
        <v/>
      </c>
      <c r="K7" s="26">
        <f>H7*J7</f>
        <v/>
      </c>
      <c r="L7" s="27">
        <f>(K7/(SQRT(2*PI())*F7))*1000</f>
        <v/>
      </c>
      <c r="M7" s="27">
        <f>2*L7*EXP(-(6.5^2)/(2*(F7^2)))</f>
        <v/>
      </c>
      <c r="N7" s="28">
        <f>(H7*(3.15^2)*(4*(1-0.32)*D7/(D7^2)))*1000</f>
        <v/>
      </c>
      <c r="O7" s="28">
        <f>(0.6065*(L7/1000)/F7)*1000</f>
        <v/>
      </c>
      <c r="P7" s="29">
        <f>IF(L7&lt;5, 0, 2*F7*SQRT(2*LN(L7/5)))</f>
        <v/>
      </c>
      <c r="Q7" s="30">
        <f>IF(M7&lt;15, "Nhẹ (Slight)", IF(M7&lt;30, "Vừa (Moderate)", "Nguy hại (Severe)"))</f>
        <v/>
      </c>
    </row>
    <row r="8">
      <c r="B8" s="11" t="inlineStr">
        <is>
          <t>SC-03</t>
        </is>
      </c>
      <c r="C8" s="12" t="inlineStr">
        <is>
          <t>S9–S10 (Kim Mã - Cát Linh)</t>
        </is>
      </c>
      <c r="D8" s="11" t="n">
        <v>15</v>
      </c>
      <c r="E8" s="11" t="n">
        <v>0.5</v>
      </c>
      <c r="F8" s="13">
        <f>D8*E8</f>
        <v/>
      </c>
      <c r="G8" s="14" t="n">
        <v>0.01</v>
      </c>
      <c r="H8" s="15">
        <f>G8</f>
        <v/>
      </c>
      <c r="I8" s="13" t="n">
        <v>6.3</v>
      </c>
      <c r="J8" s="13">
        <f>PI()*(I8^2)/4</f>
        <v/>
      </c>
      <c r="K8" s="16">
        <f>H8*J8</f>
        <v/>
      </c>
      <c r="L8" s="17">
        <f>(K8/(SQRT(2*PI())*F8))*1000</f>
        <v/>
      </c>
      <c r="M8" s="17">
        <f>2*L8*EXP(-(6.5^2)/(2*(F8^2)))</f>
        <v/>
      </c>
      <c r="N8" s="18">
        <f>(H8*(3.15^2)*(4*(1-0.32)*D8/(D8^2)))*1000</f>
        <v/>
      </c>
      <c r="O8" s="18">
        <f>(0.6065*(L8/1000)/F8)*1000</f>
        <v/>
      </c>
      <c r="P8" s="19">
        <f>IF(L8&lt;5, 0, 2*F8*SQRT(2*LN(L8/5)))</f>
        <v/>
      </c>
      <c r="Q8" s="30">
        <f>IF(M8&lt;15, "Nhẹ (Slight)", IF(M8&lt;30, "Vừa (Moderate)", "Nguy hại (Severe)"))</f>
        <v/>
      </c>
    </row>
    <row r="9">
      <c r="B9" s="21" t="inlineStr">
        <is>
          <t>SC-04</t>
        </is>
      </c>
      <c r="C9" s="22" t="inlineStr">
        <is>
          <t>S9–S10 (Kim Mã - Cát Linh)</t>
        </is>
      </c>
      <c r="D9" s="21" t="n">
        <v>15</v>
      </c>
      <c r="E9" s="21" t="n">
        <v>0.5</v>
      </c>
      <c r="F9" s="23">
        <f>D9*E9</f>
        <v/>
      </c>
      <c r="G9" s="24" t="n">
        <v>0.0125</v>
      </c>
      <c r="H9" s="25">
        <f>G9</f>
        <v/>
      </c>
      <c r="I9" s="23" t="n">
        <v>6.3</v>
      </c>
      <c r="J9" s="23">
        <f>PI()*(I9^2)/4</f>
        <v/>
      </c>
      <c r="K9" s="26">
        <f>H9*J9</f>
        <v/>
      </c>
      <c r="L9" s="27">
        <f>(K9/(SQRT(2*PI())*F9))*1000</f>
        <v/>
      </c>
      <c r="M9" s="27">
        <f>2*L9*EXP(-(6.5^2)/(2*(F9^2)))</f>
        <v/>
      </c>
      <c r="N9" s="28">
        <f>(H9*(3.15^2)*(4*(1-0.32)*D9/(D9^2)))*1000</f>
        <v/>
      </c>
      <c r="O9" s="28">
        <f>(0.6065*(L9/1000)/F9)*1000</f>
        <v/>
      </c>
      <c r="P9" s="29">
        <f>IF(L9&lt;5, 0, 2*F9*SQRT(2*LN(L9/5)))</f>
        <v/>
      </c>
      <c r="Q9" s="30">
        <f>IF(M9&lt;15, "Nhẹ (Slight)", IF(M9&lt;30, "Vừa (Moderate)", "Nguy hại (Severe)"))</f>
        <v/>
      </c>
    </row>
    <row r="10">
      <c r="B10" s="11" t="inlineStr">
        <is>
          <t>SC-05</t>
        </is>
      </c>
      <c r="C10" s="12" t="inlineStr">
        <is>
          <t>S9–S10 (Kim Mã - Cát Linh)</t>
        </is>
      </c>
      <c r="D10" s="11" t="n">
        <v>15</v>
      </c>
      <c r="E10" s="11" t="n">
        <v>0.5</v>
      </c>
      <c r="F10" s="13">
        <f>D10*E10</f>
        <v/>
      </c>
      <c r="G10" s="14" t="n">
        <v>0.015</v>
      </c>
      <c r="H10" s="15">
        <f>G10</f>
        <v/>
      </c>
      <c r="I10" s="13" t="n">
        <v>6.3</v>
      </c>
      <c r="J10" s="13">
        <f>PI()*(I10^2)/4</f>
        <v/>
      </c>
      <c r="K10" s="16">
        <f>H10*J10</f>
        <v/>
      </c>
      <c r="L10" s="17">
        <f>(K10/(SQRT(2*PI())*F10))*1000</f>
        <v/>
      </c>
      <c r="M10" s="17">
        <f>2*L10*EXP(-(6.5^2)/(2*(F10^2)))</f>
        <v/>
      </c>
      <c r="N10" s="18">
        <f>(H10*(3.15^2)*(4*(1-0.32)*D10/(D10^2)))*1000</f>
        <v/>
      </c>
      <c r="O10" s="18">
        <f>(0.6065*(L10/1000)/F10)*1000</f>
        <v/>
      </c>
      <c r="P10" s="19">
        <f>IF(L10&lt;5, 0, 2*F10*SQRT(2*LN(L10/5)))</f>
        <v/>
      </c>
      <c r="Q10" s="31">
        <f>IF(M10&lt;15, "Nhẹ (Slight)", IF(M10&lt;30, "Vừa (Moderate)", "Nguy hại (Severe)"))</f>
        <v/>
      </c>
    </row>
    <row r="11">
      <c r="B11" s="21" t="inlineStr">
        <is>
          <t>SC-06</t>
        </is>
      </c>
      <c r="C11" s="22" t="inlineStr">
        <is>
          <t>S9–S10 (Kim Mã - Cát Linh)</t>
        </is>
      </c>
      <c r="D11" s="21" t="n">
        <v>15</v>
      </c>
      <c r="E11" s="21" t="n">
        <v>0.5</v>
      </c>
      <c r="F11" s="23">
        <f>D11*E11</f>
        <v/>
      </c>
      <c r="G11" s="24" t="n">
        <v>0.0175</v>
      </c>
      <c r="H11" s="25">
        <f>G11</f>
        <v/>
      </c>
      <c r="I11" s="23" t="n">
        <v>6.3</v>
      </c>
      <c r="J11" s="23">
        <f>PI()*(I11^2)/4</f>
        <v/>
      </c>
      <c r="K11" s="26">
        <f>H11*J11</f>
        <v/>
      </c>
      <c r="L11" s="27">
        <f>(K11/(SQRT(2*PI())*F11))*1000</f>
        <v/>
      </c>
      <c r="M11" s="27">
        <f>2*L11*EXP(-(6.5^2)/(2*(F11^2)))</f>
        <v/>
      </c>
      <c r="N11" s="28">
        <f>(H11*(3.15^2)*(4*(1-0.32)*D11/(D11^2)))*1000</f>
        <v/>
      </c>
      <c r="O11" s="28">
        <f>(0.6065*(L11/1000)/F11)*1000</f>
        <v/>
      </c>
      <c r="P11" s="29">
        <f>IF(L11&lt;5, 0, 2*F11*SQRT(2*LN(L11/5)))</f>
        <v/>
      </c>
      <c r="Q11" s="31">
        <f>IF(M11&lt;15, "Nhẹ (Slight)", IF(M11&lt;30, "Vừa (Moderate)", "Nguy hại (Severe)"))</f>
        <v/>
      </c>
    </row>
    <row r="12">
      <c r="B12" s="11" t="inlineStr">
        <is>
          <t>SC-07</t>
        </is>
      </c>
      <c r="C12" s="12" t="inlineStr">
        <is>
          <t>S9–S10 (Kim Mã - Cát Linh)</t>
        </is>
      </c>
      <c r="D12" s="11" t="n">
        <v>15</v>
      </c>
      <c r="E12" s="11" t="n">
        <v>0.5</v>
      </c>
      <c r="F12" s="13">
        <f>D12*E12</f>
        <v/>
      </c>
      <c r="G12" s="14" t="n">
        <v>0.02</v>
      </c>
      <c r="H12" s="15">
        <f>G12</f>
        <v/>
      </c>
      <c r="I12" s="13" t="n">
        <v>6.3</v>
      </c>
      <c r="J12" s="13">
        <f>PI()*(I12^2)/4</f>
        <v/>
      </c>
      <c r="K12" s="16">
        <f>H12*J12</f>
        <v/>
      </c>
      <c r="L12" s="17">
        <f>(K12/(SQRT(2*PI())*F12))*1000</f>
        <v/>
      </c>
      <c r="M12" s="17">
        <f>2*L12*EXP(-(6.5^2)/(2*(F12^2)))</f>
        <v/>
      </c>
      <c r="N12" s="18">
        <f>(H12*(3.15^2)*(4*(1-0.32)*D12/(D12^2)))*1000</f>
        <v/>
      </c>
      <c r="O12" s="18">
        <f>(0.6065*(L12/1000)/F12)*1000</f>
        <v/>
      </c>
      <c r="P12" s="19">
        <f>IF(L12&lt;5, 0, 2*F12*SQRT(2*LN(L12/5)))</f>
        <v/>
      </c>
      <c r="Q12" s="31">
        <f>IF(M12&lt;15, "Nhẹ (Slight)", IF(M12&lt;30, "Vừa (Moderate)", "Nguy hại (Severe)"))</f>
        <v/>
      </c>
    </row>
    <row r="13">
      <c r="B13" s="21" t="inlineStr">
        <is>
          <t>SC-08</t>
        </is>
      </c>
      <c r="C13" s="22" t="inlineStr">
        <is>
          <t>S10–S11 (Cát Linh - Văn Miếu)</t>
        </is>
      </c>
      <c r="D13" s="21" t="n">
        <v>16.5</v>
      </c>
      <c r="E13" s="21" t="n">
        <v>0.55</v>
      </c>
      <c r="F13" s="23">
        <f>D13*E13</f>
        <v/>
      </c>
      <c r="G13" s="24" t="n">
        <v>0.005</v>
      </c>
      <c r="H13" s="25">
        <f>G13</f>
        <v/>
      </c>
      <c r="I13" s="23" t="n">
        <v>6.3</v>
      </c>
      <c r="J13" s="23">
        <f>PI()*(I13^2)/4</f>
        <v/>
      </c>
      <c r="K13" s="26">
        <f>H13*J13</f>
        <v/>
      </c>
      <c r="L13" s="27">
        <f>(K13/(SQRT(2*PI())*F13))*1000</f>
        <v/>
      </c>
      <c r="M13" s="27">
        <f>2*L13*EXP(-(6.5^2)/(2*(F13^2)))</f>
        <v/>
      </c>
      <c r="N13" s="28">
        <f>(H13*(3.15^2)*(4*(1-0.32)*D13/(D13^2)))*1000</f>
        <v/>
      </c>
      <c r="O13" s="28">
        <f>(0.6065*(L13/1000)/F13)*1000</f>
        <v/>
      </c>
      <c r="P13" s="29">
        <f>IF(L13&lt;5, 0, 2*F13*SQRT(2*LN(L13/5)))</f>
        <v/>
      </c>
      <c r="Q13" s="20">
        <f>IF(M13&lt;15, "Nhẹ (Slight)", IF(M13&lt;30, "Vừa (Moderate)", "Nguy hại (Severe)"))</f>
        <v/>
      </c>
    </row>
    <row r="14">
      <c r="B14" s="11" t="inlineStr">
        <is>
          <t>SC-09</t>
        </is>
      </c>
      <c r="C14" s="12" t="inlineStr">
        <is>
          <t>S10–S11 (Cát Linh - Văn Miếu)</t>
        </is>
      </c>
      <c r="D14" s="11" t="n">
        <v>16.5</v>
      </c>
      <c r="E14" s="11" t="n">
        <v>0.55</v>
      </c>
      <c r="F14" s="13">
        <f>D14*E14</f>
        <v/>
      </c>
      <c r="G14" s="14" t="n">
        <v>0.0075</v>
      </c>
      <c r="H14" s="15">
        <f>G14</f>
        <v/>
      </c>
      <c r="I14" s="13" t="n">
        <v>6.3</v>
      </c>
      <c r="J14" s="13">
        <f>PI()*(I14^2)/4</f>
        <v/>
      </c>
      <c r="K14" s="16">
        <f>H14*J14</f>
        <v/>
      </c>
      <c r="L14" s="17">
        <f>(K14/(SQRT(2*PI())*F14))*1000</f>
        <v/>
      </c>
      <c r="M14" s="17">
        <f>2*L14*EXP(-(6.5^2)/(2*(F14^2)))</f>
        <v/>
      </c>
      <c r="N14" s="18">
        <f>(H14*(3.15^2)*(4*(1-0.32)*D14/(D14^2)))*1000</f>
        <v/>
      </c>
      <c r="O14" s="18">
        <f>(0.6065*(L14/1000)/F14)*1000</f>
        <v/>
      </c>
      <c r="P14" s="19">
        <f>IF(L14&lt;5, 0, 2*F14*SQRT(2*LN(L14/5)))</f>
        <v/>
      </c>
      <c r="Q14" s="30">
        <f>IF(M14&lt;15, "Nhẹ (Slight)", IF(M14&lt;30, "Vừa (Moderate)", "Nguy hại (Severe)"))</f>
        <v/>
      </c>
    </row>
    <row r="15">
      <c r="B15" s="21" t="inlineStr">
        <is>
          <t>SC-10</t>
        </is>
      </c>
      <c r="C15" s="22" t="inlineStr">
        <is>
          <t>S10–S11 (Cát Linh - Văn Miếu)</t>
        </is>
      </c>
      <c r="D15" s="21" t="n">
        <v>16.5</v>
      </c>
      <c r="E15" s="21" t="n">
        <v>0.55</v>
      </c>
      <c r="F15" s="23">
        <f>D15*E15</f>
        <v/>
      </c>
      <c r="G15" s="24" t="n">
        <v>0.01</v>
      </c>
      <c r="H15" s="25">
        <f>G15</f>
        <v/>
      </c>
      <c r="I15" s="23" t="n">
        <v>6.3</v>
      </c>
      <c r="J15" s="23">
        <f>PI()*(I15^2)/4</f>
        <v/>
      </c>
      <c r="K15" s="26">
        <f>H15*J15</f>
        <v/>
      </c>
      <c r="L15" s="27">
        <f>(K15/(SQRT(2*PI())*F15))*1000</f>
        <v/>
      </c>
      <c r="M15" s="27">
        <f>2*L15*EXP(-(6.5^2)/(2*(F15^2)))</f>
        <v/>
      </c>
      <c r="N15" s="28">
        <f>(H15*(3.15^2)*(4*(1-0.32)*D15/(D15^2)))*1000</f>
        <v/>
      </c>
      <c r="O15" s="28">
        <f>(0.6065*(L15/1000)/F15)*1000</f>
        <v/>
      </c>
      <c r="P15" s="29">
        <f>IF(L15&lt;5, 0, 2*F15*SQRT(2*LN(L15/5)))</f>
        <v/>
      </c>
      <c r="Q15" s="30">
        <f>IF(M15&lt;15, "Nhẹ (Slight)", IF(M15&lt;30, "Vừa (Moderate)", "Nguy hại (Severe)"))</f>
        <v/>
      </c>
    </row>
    <row r="16">
      <c r="B16" s="11" t="inlineStr">
        <is>
          <t>SC-11</t>
        </is>
      </c>
      <c r="C16" s="12" t="inlineStr">
        <is>
          <t>S10–S11 (Cát Linh - Văn Miếu)</t>
        </is>
      </c>
      <c r="D16" s="11" t="n">
        <v>16.5</v>
      </c>
      <c r="E16" s="11" t="n">
        <v>0.55</v>
      </c>
      <c r="F16" s="13">
        <f>D16*E16</f>
        <v/>
      </c>
      <c r="G16" s="14" t="n">
        <v>0.0125</v>
      </c>
      <c r="H16" s="15">
        <f>G16</f>
        <v/>
      </c>
      <c r="I16" s="13" t="n">
        <v>6.3</v>
      </c>
      <c r="J16" s="13">
        <f>PI()*(I16^2)/4</f>
        <v/>
      </c>
      <c r="K16" s="16">
        <f>H16*J16</f>
        <v/>
      </c>
      <c r="L16" s="17">
        <f>(K16/(SQRT(2*PI())*F16))*1000</f>
        <v/>
      </c>
      <c r="M16" s="17">
        <f>2*L16*EXP(-(6.5^2)/(2*(F16^2)))</f>
        <v/>
      </c>
      <c r="N16" s="18">
        <f>(H16*(3.15^2)*(4*(1-0.32)*D16/(D16^2)))*1000</f>
        <v/>
      </c>
      <c r="O16" s="18">
        <f>(0.6065*(L16/1000)/F16)*1000</f>
        <v/>
      </c>
      <c r="P16" s="19">
        <f>IF(L16&lt;5, 0, 2*F16*SQRT(2*LN(L16/5)))</f>
        <v/>
      </c>
      <c r="Q16" s="30">
        <f>IF(M16&lt;15, "Nhẹ (Slight)", IF(M16&lt;30, "Vừa (Moderate)", "Nguy hại (Severe)"))</f>
        <v/>
      </c>
    </row>
    <row r="17">
      <c r="B17" s="21" t="inlineStr">
        <is>
          <t>SC-12</t>
        </is>
      </c>
      <c r="C17" s="22" t="inlineStr">
        <is>
          <t>S10–S11 (Cát Linh - Văn Miếu)</t>
        </is>
      </c>
      <c r="D17" s="21" t="n">
        <v>16.5</v>
      </c>
      <c r="E17" s="21" t="n">
        <v>0.55</v>
      </c>
      <c r="F17" s="23">
        <f>D17*E17</f>
        <v/>
      </c>
      <c r="G17" s="24" t="n">
        <v>0.015</v>
      </c>
      <c r="H17" s="25">
        <f>G17</f>
        <v/>
      </c>
      <c r="I17" s="23" t="n">
        <v>6.3</v>
      </c>
      <c r="J17" s="23">
        <f>PI()*(I17^2)/4</f>
        <v/>
      </c>
      <c r="K17" s="26">
        <f>H17*J17</f>
        <v/>
      </c>
      <c r="L17" s="27">
        <f>(K17/(SQRT(2*PI())*F17))*1000</f>
        <v/>
      </c>
      <c r="M17" s="27">
        <f>2*L17*EXP(-(6.5^2)/(2*(F17^2)))</f>
        <v/>
      </c>
      <c r="N17" s="28">
        <f>(H17*(3.15^2)*(4*(1-0.32)*D17/(D17^2)))*1000</f>
        <v/>
      </c>
      <c r="O17" s="28">
        <f>(0.6065*(L17/1000)/F17)*1000</f>
        <v/>
      </c>
      <c r="P17" s="29">
        <f>IF(L17&lt;5, 0, 2*F17*SQRT(2*LN(L17/5)))</f>
        <v/>
      </c>
      <c r="Q17" s="31">
        <f>IF(M17&lt;15, "Nhẹ (Slight)", IF(M17&lt;30, "Vừa (Moderate)", "Nguy hại (Severe)"))</f>
        <v/>
      </c>
    </row>
    <row r="18">
      <c r="B18" s="11" t="inlineStr">
        <is>
          <t>SC-13</t>
        </is>
      </c>
      <c r="C18" s="12" t="inlineStr">
        <is>
          <t>S10–S11 (Cát Linh - Văn Miếu)</t>
        </is>
      </c>
      <c r="D18" s="11" t="n">
        <v>16.5</v>
      </c>
      <c r="E18" s="11" t="n">
        <v>0.55</v>
      </c>
      <c r="F18" s="13">
        <f>D18*E18</f>
        <v/>
      </c>
      <c r="G18" s="14" t="n">
        <v>0.0175</v>
      </c>
      <c r="H18" s="15">
        <f>G18</f>
        <v/>
      </c>
      <c r="I18" s="13" t="n">
        <v>6.3</v>
      </c>
      <c r="J18" s="13">
        <f>PI()*(I18^2)/4</f>
        <v/>
      </c>
      <c r="K18" s="16">
        <f>H18*J18</f>
        <v/>
      </c>
      <c r="L18" s="17">
        <f>(K18/(SQRT(2*PI())*F18))*1000</f>
        <v/>
      </c>
      <c r="M18" s="17">
        <f>2*L18*EXP(-(6.5^2)/(2*(F18^2)))</f>
        <v/>
      </c>
      <c r="N18" s="18">
        <f>(H18*(3.15^2)*(4*(1-0.32)*D18/(D18^2)))*1000</f>
        <v/>
      </c>
      <c r="O18" s="18">
        <f>(0.6065*(L18/1000)/F18)*1000</f>
        <v/>
      </c>
      <c r="P18" s="19">
        <f>IF(L18&lt;5, 0, 2*F18*SQRT(2*LN(L18/5)))</f>
        <v/>
      </c>
      <c r="Q18" s="31">
        <f>IF(M18&lt;15, "Nhẹ (Slight)", IF(M18&lt;30, "Vừa (Moderate)", "Nguy hại (Severe)"))</f>
        <v/>
      </c>
    </row>
    <row r="19">
      <c r="B19" s="21" t="inlineStr">
        <is>
          <t>SC-14</t>
        </is>
      </c>
      <c r="C19" s="22" t="inlineStr">
        <is>
          <t>S10–S11 (Cát Linh - Văn Miếu)</t>
        </is>
      </c>
      <c r="D19" s="21" t="n">
        <v>16.5</v>
      </c>
      <c r="E19" s="21" t="n">
        <v>0.55</v>
      </c>
      <c r="F19" s="23">
        <f>D19*E19</f>
        <v/>
      </c>
      <c r="G19" s="24" t="n">
        <v>0.02</v>
      </c>
      <c r="H19" s="25">
        <f>G19</f>
        <v/>
      </c>
      <c r="I19" s="23" t="n">
        <v>6.3</v>
      </c>
      <c r="J19" s="23">
        <f>PI()*(I19^2)/4</f>
        <v/>
      </c>
      <c r="K19" s="26">
        <f>H19*J19</f>
        <v/>
      </c>
      <c r="L19" s="27">
        <f>(K19/(SQRT(2*PI())*F19))*1000</f>
        <v/>
      </c>
      <c r="M19" s="27">
        <f>2*L19*EXP(-(6.5^2)/(2*(F19^2)))</f>
        <v/>
      </c>
      <c r="N19" s="28">
        <f>(H19*(3.15^2)*(4*(1-0.32)*D19/(D19^2)))*1000</f>
        <v/>
      </c>
      <c r="O19" s="28">
        <f>(0.6065*(L19/1000)/F19)*1000</f>
        <v/>
      </c>
      <c r="P19" s="29">
        <f>IF(L19&lt;5, 0, 2*F19*SQRT(2*LN(L19/5)))</f>
        <v/>
      </c>
      <c r="Q19" s="31">
        <f>IF(M19&lt;15, "Nhẹ (Slight)", IF(M19&lt;30, "Vừa (Moderate)", "Nguy hại (Severe)"))</f>
        <v/>
      </c>
    </row>
    <row r="20">
      <c r="B20" s="11" t="inlineStr">
        <is>
          <t>SC-15</t>
        </is>
      </c>
      <c r="C20" s="12" t="inlineStr">
        <is>
          <t>S11–S12 (Văn Miếu - Ga Hà Nội)</t>
        </is>
      </c>
      <c r="D20" s="11" t="n">
        <v>18</v>
      </c>
      <c r="E20" s="11" t="n">
        <v>0.6</v>
      </c>
      <c r="F20" s="13">
        <f>D20*E20</f>
        <v/>
      </c>
      <c r="G20" s="14" t="n">
        <v>0.005</v>
      </c>
      <c r="H20" s="15">
        <f>G20</f>
        <v/>
      </c>
      <c r="I20" s="13" t="n">
        <v>6.3</v>
      </c>
      <c r="J20" s="13">
        <f>PI()*(I20^2)/4</f>
        <v/>
      </c>
      <c r="K20" s="16">
        <f>H20*J20</f>
        <v/>
      </c>
      <c r="L20" s="17">
        <f>(K20/(SQRT(2*PI())*F20))*1000</f>
        <v/>
      </c>
      <c r="M20" s="17">
        <f>2*L20*EXP(-(6.5^2)/(2*(F20^2)))</f>
        <v/>
      </c>
      <c r="N20" s="18">
        <f>(H20*(3.15^2)*(4*(1-0.32)*D20/(D20^2)))*1000</f>
        <v/>
      </c>
      <c r="O20" s="18">
        <f>(0.6065*(L20/1000)/F20)*1000</f>
        <v/>
      </c>
      <c r="P20" s="19">
        <f>IF(L20&lt;5, 0, 2*F20*SQRT(2*LN(L20/5)))</f>
        <v/>
      </c>
      <c r="Q20" s="20">
        <f>IF(M20&lt;15, "Nhẹ (Slight)", IF(M20&lt;30, "Vừa (Moderate)", "Nguy hại (Severe)"))</f>
        <v/>
      </c>
    </row>
    <row r="21">
      <c r="B21" s="21" t="inlineStr">
        <is>
          <t>SC-16</t>
        </is>
      </c>
      <c r="C21" s="22" t="inlineStr">
        <is>
          <t>S11–S12 (Văn Miếu - Ga Hà Nội)</t>
        </is>
      </c>
      <c r="D21" s="21" t="n">
        <v>18</v>
      </c>
      <c r="E21" s="21" t="n">
        <v>0.6</v>
      </c>
      <c r="F21" s="23">
        <f>D21*E21</f>
        <v/>
      </c>
      <c r="G21" s="24" t="n">
        <v>0.0075</v>
      </c>
      <c r="H21" s="25">
        <f>G21</f>
        <v/>
      </c>
      <c r="I21" s="23" t="n">
        <v>6.3</v>
      </c>
      <c r="J21" s="23">
        <f>PI()*(I21^2)/4</f>
        <v/>
      </c>
      <c r="K21" s="26">
        <f>H21*J21</f>
        <v/>
      </c>
      <c r="L21" s="27">
        <f>(K21/(SQRT(2*PI())*F21))*1000</f>
        <v/>
      </c>
      <c r="M21" s="27">
        <f>2*L21*EXP(-(6.5^2)/(2*(F21^2)))</f>
        <v/>
      </c>
      <c r="N21" s="28">
        <f>(H21*(3.15^2)*(4*(1-0.32)*D21/(D21^2)))*1000</f>
        <v/>
      </c>
      <c r="O21" s="28">
        <f>(0.6065*(L21/1000)/F21)*1000</f>
        <v/>
      </c>
      <c r="P21" s="29">
        <f>IF(L21&lt;5, 0, 2*F21*SQRT(2*LN(L21/5)))</f>
        <v/>
      </c>
      <c r="Q21" s="30">
        <f>IF(M21&lt;15, "Nhẹ (Slight)", IF(M21&lt;30, "Vừa (Moderate)", "Nguy hại (Severe)"))</f>
        <v/>
      </c>
    </row>
    <row r="22">
      <c r="B22" s="11" t="inlineStr">
        <is>
          <t>SC-17</t>
        </is>
      </c>
      <c r="C22" s="12" t="inlineStr">
        <is>
          <t>S11–S12 (Văn Miếu - Ga Hà Nội)</t>
        </is>
      </c>
      <c r="D22" s="11" t="n">
        <v>18</v>
      </c>
      <c r="E22" s="11" t="n">
        <v>0.6</v>
      </c>
      <c r="F22" s="13">
        <f>D22*E22</f>
        <v/>
      </c>
      <c r="G22" s="14" t="n">
        <v>0.01</v>
      </c>
      <c r="H22" s="15">
        <f>G22</f>
        <v/>
      </c>
      <c r="I22" s="13" t="n">
        <v>6.3</v>
      </c>
      <c r="J22" s="13">
        <f>PI()*(I22^2)/4</f>
        <v/>
      </c>
      <c r="K22" s="16">
        <f>H22*J22</f>
        <v/>
      </c>
      <c r="L22" s="17">
        <f>(K22/(SQRT(2*PI())*F22))*1000</f>
        <v/>
      </c>
      <c r="M22" s="17">
        <f>2*L22*EXP(-(6.5^2)/(2*(F22^2)))</f>
        <v/>
      </c>
      <c r="N22" s="18">
        <f>(H22*(3.15^2)*(4*(1-0.32)*D22/(D22^2)))*1000</f>
        <v/>
      </c>
      <c r="O22" s="18">
        <f>(0.6065*(L22/1000)/F22)*1000</f>
        <v/>
      </c>
      <c r="P22" s="19">
        <f>IF(L22&lt;5, 0, 2*F22*SQRT(2*LN(L22/5)))</f>
        <v/>
      </c>
      <c r="Q22" s="30">
        <f>IF(M22&lt;15, "Nhẹ (Slight)", IF(M22&lt;30, "Vừa (Moderate)", "Nguy hại (Severe)"))</f>
        <v/>
      </c>
    </row>
    <row r="23">
      <c r="B23" s="21" t="inlineStr">
        <is>
          <t>SC-18</t>
        </is>
      </c>
      <c r="C23" s="22" t="inlineStr">
        <is>
          <t>S11–S12 (Văn Miếu - Ga Hà Nội)</t>
        </is>
      </c>
      <c r="D23" s="21" t="n">
        <v>18</v>
      </c>
      <c r="E23" s="21" t="n">
        <v>0.6</v>
      </c>
      <c r="F23" s="23">
        <f>D23*E23</f>
        <v/>
      </c>
      <c r="G23" s="24" t="n">
        <v>0.0125</v>
      </c>
      <c r="H23" s="25">
        <f>G23</f>
        <v/>
      </c>
      <c r="I23" s="23" t="n">
        <v>6.3</v>
      </c>
      <c r="J23" s="23">
        <f>PI()*(I23^2)/4</f>
        <v/>
      </c>
      <c r="K23" s="26">
        <f>H23*J23</f>
        <v/>
      </c>
      <c r="L23" s="27">
        <f>(K23/(SQRT(2*PI())*F23))*1000</f>
        <v/>
      </c>
      <c r="M23" s="27">
        <f>2*L23*EXP(-(6.5^2)/(2*(F23^2)))</f>
        <v/>
      </c>
      <c r="N23" s="28">
        <f>(H23*(3.15^2)*(4*(1-0.32)*D23/(D23^2)))*1000</f>
        <v/>
      </c>
      <c r="O23" s="28">
        <f>(0.6065*(L23/1000)/F23)*1000</f>
        <v/>
      </c>
      <c r="P23" s="29">
        <f>IF(L23&lt;5, 0, 2*F23*SQRT(2*LN(L23/5)))</f>
        <v/>
      </c>
      <c r="Q23" s="30">
        <f>IF(M23&lt;15, "Nhẹ (Slight)", IF(M23&lt;30, "Vừa (Moderate)", "Nguy hại (Severe)"))</f>
        <v/>
      </c>
    </row>
    <row r="24">
      <c r="B24" s="11" t="inlineStr">
        <is>
          <t>SC-19</t>
        </is>
      </c>
      <c r="C24" s="12" t="inlineStr">
        <is>
          <t>S11–S12 (Văn Miếu - Ga Hà Nội)</t>
        </is>
      </c>
      <c r="D24" s="11" t="n">
        <v>18</v>
      </c>
      <c r="E24" s="11" t="n">
        <v>0.6</v>
      </c>
      <c r="F24" s="13">
        <f>D24*E24</f>
        <v/>
      </c>
      <c r="G24" s="14" t="n">
        <v>0.015</v>
      </c>
      <c r="H24" s="15">
        <f>G24</f>
        <v/>
      </c>
      <c r="I24" s="13" t="n">
        <v>6.3</v>
      </c>
      <c r="J24" s="13">
        <f>PI()*(I24^2)/4</f>
        <v/>
      </c>
      <c r="K24" s="16">
        <f>H24*J24</f>
        <v/>
      </c>
      <c r="L24" s="17">
        <f>(K24/(SQRT(2*PI())*F24))*1000</f>
        <v/>
      </c>
      <c r="M24" s="17">
        <f>2*L24*EXP(-(6.5^2)/(2*(F24^2)))</f>
        <v/>
      </c>
      <c r="N24" s="18">
        <f>(H24*(3.15^2)*(4*(1-0.32)*D24/(D24^2)))*1000</f>
        <v/>
      </c>
      <c r="O24" s="18">
        <f>(0.6065*(L24/1000)/F24)*1000</f>
        <v/>
      </c>
      <c r="P24" s="19">
        <f>IF(L24&lt;5, 0, 2*F24*SQRT(2*LN(L24/5)))</f>
        <v/>
      </c>
      <c r="Q24" s="31">
        <f>IF(M24&lt;15, "Nhẹ (Slight)", IF(M24&lt;30, "Vừa (Moderate)", "Nguy hại (Severe)"))</f>
        <v/>
      </c>
    </row>
    <row r="25">
      <c r="B25" s="21" t="inlineStr">
        <is>
          <t>SC-20</t>
        </is>
      </c>
      <c r="C25" s="22" t="inlineStr">
        <is>
          <t>S11–S12 (Văn Miếu - Ga Hà Nội)</t>
        </is>
      </c>
      <c r="D25" s="21" t="n">
        <v>18</v>
      </c>
      <c r="E25" s="21" t="n">
        <v>0.6</v>
      </c>
      <c r="F25" s="23">
        <f>D25*E25</f>
        <v/>
      </c>
      <c r="G25" s="24" t="n">
        <v>0.0175</v>
      </c>
      <c r="H25" s="25">
        <f>G25</f>
        <v/>
      </c>
      <c r="I25" s="23" t="n">
        <v>6.3</v>
      </c>
      <c r="J25" s="23">
        <f>PI()*(I25^2)/4</f>
        <v/>
      </c>
      <c r="K25" s="26">
        <f>H25*J25</f>
        <v/>
      </c>
      <c r="L25" s="27">
        <f>(K25/(SQRT(2*PI())*F25))*1000</f>
        <v/>
      </c>
      <c r="M25" s="27">
        <f>2*L25*EXP(-(6.5^2)/(2*(F25^2)))</f>
        <v/>
      </c>
      <c r="N25" s="28">
        <f>(H25*(3.15^2)*(4*(1-0.32)*D25/(D25^2)))*1000</f>
        <v/>
      </c>
      <c r="O25" s="28">
        <f>(0.6065*(L25/1000)/F25)*1000</f>
        <v/>
      </c>
      <c r="P25" s="29">
        <f>IF(L25&lt;5, 0, 2*F25*SQRT(2*LN(L25/5)))</f>
        <v/>
      </c>
      <c r="Q25" s="31">
        <f>IF(M25&lt;15, "Nhẹ (Slight)", IF(M25&lt;30, "Vừa (Moderate)", "Nguy hại (Severe)"))</f>
        <v/>
      </c>
    </row>
    <row r="26">
      <c r="B26" s="11" t="inlineStr">
        <is>
          <t>SC-21</t>
        </is>
      </c>
      <c r="C26" s="12" t="inlineStr">
        <is>
          <t>S11–S12 (Văn Miếu - Ga Hà Nội)</t>
        </is>
      </c>
      <c r="D26" s="11" t="n">
        <v>18</v>
      </c>
      <c r="E26" s="11" t="n">
        <v>0.6</v>
      </c>
      <c r="F26" s="13">
        <f>D26*E26</f>
        <v/>
      </c>
      <c r="G26" s="14" t="n">
        <v>0.02</v>
      </c>
      <c r="H26" s="15">
        <f>G26</f>
        <v/>
      </c>
      <c r="I26" s="13" t="n">
        <v>6.3</v>
      </c>
      <c r="J26" s="13">
        <f>PI()*(I26^2)/4</f>
        <v/>
      </c>
      <c r="K26" s="16">
        <f>H26*J26</f>
        <v/>
      </c>
      <c r="L26" s="17">
        <f>(K26/(SQRT(2*PI())*F26))*1000</f>
        <v/>
      </c>
      <c r="M26" s="17">
        <f>2*L26*EXP(-(6.5^2)/(2*(F26^2)))</f>
        <v/>
      </c>
      <c r="N26" s="18">
        <f>(H26*(3.15^2)*(4*(1-0.32)*D26/(D26^2)))*1000</f>
        <v/>
      </c>
      <c r="O26" s="18">
        <f>(0.6065*(L26/1000)/F26)*1000</f>
        <v/>
      </c>
      <c r="P26" s="19">
        <f>IF(L26&lt;5, 0, 2*F26*SQRT(2*LN(L26/5)))</f>
        <v/>
      </c>
      <c r="Q26" s="31">
        <f>IF(M26&lt;15, "Nhẹ (Slight)", IF(M26&lt;30, "Vừa (Moderate)", "Nguy hại (Severe)"))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6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5" customWidth="1" min="2" max="2"/>
    <col width="38" customWidth="1" min="3" max="3"/>
    <col width="39" customWidth="1" min="4" max="4"/>
    <col width="39" customWidth="1" min="5" max="5"/>
    <col width="39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  <col width="31" customWidth="1" min="12" max="12"/>
  </cols>
  <sheetData>
    <row r="1"/>
    <row r="2">
      <c r="B2" s="1" t="inlineStr">
        <is>
          <t>MẶT CẮT LÚN NGANG ĐOẠN S9–S10 (z0 = 15m, K = 0.5, i = 7.5m, d = 13m)</t>
        </is>
      </c>
    </row>
    <row r="3">
      <c r="B3" s="2" t="inlineStr">
        <is>
          <t>Phân bố chuyển vị lún bề mặt đất theo cự ly ngang x (-50m đến +50m)</t>
        </is>
      </c>
    </row>
    <row r="4"/>
    <row r="5">
      <c r="B5" s="10" t="inlineStr">
        <is>
          <t>Khoảng cách x (m)</t>
        </is>
      </c>
      <c r="C5" s="10" t="inlineStr">
        <is>
          <t>S_Peck Đơn VL=0.5% (mm)</t>
        </is>
      </c>
      <c r="D5" s="10" t="inlineStr">
        <is>
          <t>S_Peck Đơn VL=1.0% (mm)</t>
        </is>
      </c>
      <c r="E5" s="10" t="inlineStr">
        <is>
          <t>S_Peck Đơn VL=1.5% (mm)</t>
        </is>
      </c>
      <c r="F5" s="10" t="inlineStr">
        <is>
          <t>S_Peck Đơn VL=2.0% (mm)</t>
        </is>
      </c>
      <c r="G5" s="10" t="inlineStr">
        <is>
          <t>S_Peck ĐÔI VL=0.5% (mm)</t>
        </is>
      </c>
      <c r="H5" s="10" t="inlineStr">
        <is>
          <t>S_Peck ĐÔI VL=1.0% (mm)</t>
        </is>
      </c>
      <c r="I5" s="10" t="inlineStr">
        <is>
          <t>S_Peck ĐÔI VL=1.5% (mm)</t>
        </is>
      </c>
      <c r="J5" s="10" t="inlineStr">
        <is>
          <t>S_Peck ĐÔI VL=2.0% (mm)</t>
        </is>
      </c>
      <c r="K5" s="10" t="inlineStr">
        <is>
          <t>S_LP Đơn VL=1.0% (mm)</t>
        </is>
      </c>
      <c r="L5" s="10" t="inlineStr">
        <is>
          <t>Độ dốc θ Đôi VL=1.0% (10^-3)</t>
        </is>
      </c>
    </row>
    <row r="6">
      <c r="B6" s="11" t="n">
        <v>-50</v>
      </c>
      <c r="C6" s="32">
        <f>8.29*EXP(-(B6^2)/(2*(7.5^2)))</f>
        <v/>
      </c>
      <c r="D6" s="32">
        <f>16.58*EXP(-(B6^2)/(2*(7.5^2)))</f>
        <v/>
      </c>
      <c r="E6" s="32">
        <f>24.87*EXP(-(B6^2)/(2*(7.5^2)))</f>
        <v/>
      </c>
      <c r="F6" s="32">
        <f>33.16*EXP(-(B6^2)/(2*(7.5^2)))</f>
        <v/>
      </c>
      <c r="G6" s="32">
        <f>8.29*(EXP(-((B6+6.5)^2)/(2*(7.5^2)))+EXP(-((B6-6.5)^2)/(2*(7.5^2))))</f>
        <v/>
      </c>
      <c r="H6" s="32">
        <f>16.58*(EXP(-((B6+6.5)^2)/(2*(7.5^2)))+EXP(-((B6-6.5)^2)/(2*(7.5^2))))</f>
        <v/>
      </c>
      <c r="I6" s="32">
        <f>24.87*(EXP(-((B6+6.5)^2)/(2*(7.5^2)))+EXP(-((B6-6.5)^2)/(2*(7.5^2))))</f>
        <v/>
      </c>
      <c r="J6" s="32">
        <f>33.16*(EXP(-((B6+6.5)^2)/(2*(7.5^2)))+EXP(-((B6-6.5)^2)/(2*(7.5^2))))</f>
        <v/>
      </c>
      <c r="K6" s="32">
        <f>(0.01*(3.15^2)*(4*(1-0.3)*15/(B6^2+225))*EXP(-1.38*(B6^2)/(18.15^2)))*1000</f>
        <v/>
      </c>
      <c r="L6" s="32" t="n">
        <v>0</v>
      </c>
    </row>
    <row r="7">
      <c r="B7" s="11" t="n">
        <v>-49</v>
      </c>
      <c r="C7" s="33">
        <f>8.29*EXP(-(B7^2)/(2*(7.5^2)))</f>
        <v/>
      </c>
      <c r="D7" s="33">
        <f>16.58*EXP(-(B7^2)/(2*(7.5^2)))</f>
        <v/>
      </c>
      <c r="E7" s="33">
        <f>24.87*EXP(-(B7^2)/(2*(7.5^2)))</f>
        <v/>
      </c>
      <c r="F7" s="33">
        <f>33.16*EXP(-(B7^2)/(2*(7.5^2)))</f>
        <v/>
      </c>
      <c r="G7" s="33">
        <f>8.29*(EXP(-((B7+6.5)^2)/(2*(7.5^2)))+EXP(-((B7-6.5)^2)/(2*(7.5^2))))</f>
        <v/>
      </c>
      <c r="H7" s="33">
        <f>16.58*(EXP(-((B7+6.5)^2)/(2*(7.5^2)))+EXP(-((B7-6.5)^2)/(2*(7.5^2))))</f>
        <v/>
      </c>
      <c r="I7" s="33">
        <f>24.87*(EXP(-((B7+6.5)^2)/(2*(7.5^2)))+EXP(-((B7-6.5)^2)/(2*(7.5^2))))</f>
        <v/>
      </c>
      <c r="J7" s="33">
        <f>33.16*(EXP(-((B7+6.5)^2)/(2*(7.5^2)))+EXP(-((B7-6.5)^2)/(2*(7.5^2))))</f>
        <v/>
      </c>
      <c r="K7" s="33">
        <f>(0.01*(3.15^2)*(4*(1-0.3)*15/(B7^2+225))*EXP(-1.38*(B7^2)/(18.15^2)))*1000</f>
        <v/>
      </c>
      <c r="L7" s="33">
        <f>ABS(H8-H6)/2</f>
        <v/>
      </c>
    </row>
    <row r="8">
      <c r="B8" s="11" t="n">
        <v>-48</v>
      </c>
      <c r="C8" s="32">
        <f>8.29*EXP(-(B8^2)/(2*(7.5^2)))</f>
        <v/>
      </c>
      <c r="D8" s="32">
        <f>16.58*EXP(-(B8^2)/(2*(7.5^2)))</f>
        <v/>
      </c>
      <c r="E8" s="32">
        <f>24.87*EXP(-(B8^2)/(2*(7.5^2)))</f>
        <v/>
      </c>
      <c r="F8" s="32">
        <f>33.16*EXP(-(B8^2)/(2*(7.5^2)))</f>
        <v/>
      </c>
      <c r="G8" s="32">
        <f>8.29*(EXP(-((B8+6.5)^2)/(2*(7.5^2)))+EXP(-((B8-6.5)^2)/(2*(7.5^2))))</f>
        <v/>
      </c>
      <c r="H8" s="32">
        <f>16.58*(EXP(-((B8+6.5)^2)/(2*(7.5^2)))+EXP(-((B8-6.5)^2)/(2*(7.5^2))))</f>
        <v/>
      </c>
      <c r="I8" s="32">
        <f>24.87*(EXP(-((B8+6.5)^2)/(2*(7.5^2)))+EXP(-((B8-6.5)^2)/(2*(7.5^2))))</f>
        <v/>
      </c>
      <c r="J8" s="32">
        <f>33.16*(EXP(-((B8+6.5)^2)/(2*(7.5^2)))+EXP(-((B8-6.5)^2)/(2*(7.5^2))))</f>
        <v/>
      </c>
      <c r="K8" s="32">
        <f>(0.01*(3.15^2)*(4*(1-0.3)*15/(B8^2+225))*EXP(-1.38*(B8^2)/(18.15^2)))*1000</f>
        <v/>
      </c>
      <c r="L8" s="32">
        <f>ABS(H9-H7)/2</f>
        <v/>
      </c>
    </row>
    <row r="9">
      <c r="B9" s="11" t="n">
        <v>-47</v>
      </c>
      <c r="C9" s="33">
        <f>8.29*EXP(-(B9^2)/(2*(7.5^2)))</f>
        <v/>
      </c>
      <c r="D9" s="33">
        <f>16.58*EXP(-(B9^2)/(2*(7.5^2)))</f>
        <v/>
      </c>
      <c r="E9" s="33">
        <f>24.87*EXP(-(B9^2)/(2*(7.5^2)))</f>
        <v/>
      </c>
      <c r="F9" s="33">
        <f>33.16*EXP(-(B9^2)/(2*(7.5^2)))</f>
        <v/>
      </c>
      <c r="G9" s="33">
        <f>8.29*(EXP(-((B9+6.5)^2)/(2*(7.5^2)))+EXP(-((B9-6.5)^2)/(2*(7.5^2))))</f>
        <v/>
      </c>
      <c r="H9" s="33">
        <f>16.58*(EXP(-((B9+6.5)^2)/(2*(7.5^2)))+EXP(-((B9-6.5)^2)/(2*(7.5^2))))</f>
        <v/>
      </c>
      <c r="I9" s="33">
        <f>24.87*(EXP(-((B9+6.5)^2)/(2*(7.5^2)))+EXP(-((B9-6.5)^2)/(2*(7.5^2))))</f>
        <v/>
      </c>
      <c r="J9" s="33">
        <f>33.16*(EXP(-((B9+6.5)^2)/(2*(7.5^2)))+EXP(-((B9-6.5)^2)/(2*(7.5^2))))</f>
        <v/>
      </c>
      <c r="K9" s="33">
        <f>(0.01*(3.15^2)*(4*(1-0.3)*15/(B9^2+225))*EXP(-1.38*(B9^2)/(18.15^2)))*1000</f>
        <v/>
      </c>
      <c r="L9" s="33">
        <f>ABS(H10-H8)/2</f>
        <v/>
      </c>
    </row>
    <row r="10">
      <c r="B10" s="11" t="n">
        <v>-46</v>
      </c>
      <c r="C10" s="32">
        <f>8.29*EXP(-(B10^2)/(2*(7.5^2)))</f>
        <v/>
      </c>
      <c r="D10" s="32">
        <f>16.58*EXP(-(B10^2)/(2*(7.5^2)))</f>
        <v/>
      </c>
      <c r="E10" s="32">
        <f>24.87*EXP(-(B10^2)/(2*(7.5^2)))</f>
        <v/>
      </c>
      <c r="F10" s="32">
        <f>33.16*EXP(-(B10^2)/(2*(7.5^2)))</f>
        <v/>
      </c>
      <c r="G10" s="32">
        <f>8.29*(EXP(-((B10+6.5)^2)/(2*(7.5^2)))+EXP(-((B10-6.5)^2)/(2*(7.5^2))))</f>
        <v/>
      </c>
      <c r="H10" s="32">
        <f>16.58*(EXP(-((B10+6.5)^2)/(2*(7.5^2)))+EXP(-((B10-6.5)^2)/(2*(7.5^2))))</f>
        <v/>
      </c>
      <c r="I10" s="32">
        <f>24.87*(EXP(-((B10+6.5)^2)/(2*(7.5^2)))+EXP(-((B10-6.5)^2)/(2*(7.5^2))))</f>
        <v/>
      </c>
      <c r="J10" s="32">
        <f>33.16*(EXP(-((B10+6.5)^2)/(2*(7.5^2)))+EXP(-((B10-6.5)^2)/(2*(7.5^2))))</f>
        <v/>
      </c>
      <c r="K10" s="32">
        <f>(0.01*(3.15^2)*(4*(1-0.3)*15/(B10^2+225))*EXP(-1.38*(B10^2)/(18.15^2)))*1000</f>
        <v/>
      </c>
      <c r="L10" s="32">
        <f>ABS(H11-H9)/2</f>
        <v/>
      </c>
    </row>
    <row r="11">
      <c r="B11" s="11" t="n">
        <v>-45</v>
      </c>
      <c r="C11" s="33">
        <f>8.29*EXP(-(B11^2)/(2*(7.5^2)))</f>
        <v/>
      </c>
      <c r="D11" s="33">
        <f>16.58*EXP(-(B11^2)/(2*(7.5^2)))</f>
        <v/>
      </c>
      <c r="E11" s="33">
        <f>24.87*EXP(-(B11^2)/(2*(7.5^2)))</f>
        <v/>
      </c>
      <c r="F11" s="33">
        <f>33.16*EXP(-(B11^2)/(2*(7.5^2)))</f>
        <v/>
      </c>
      <c r="G11" s="33">
        <f>8.29*(EXP(-((B11+6.5)^2)/(2*(7.5^2)))+EXP(-((B11-6.5)^2)/(2*(7.5^2))))</f>
        <v/>
      </c>
      <c r="H11" s="33">
        <f>16.58*(EXP(-((B11+6.5)^2)/(2*(7.5^2)))+EXP(-((B11-6.5)^2)/(2*(7.5^2))))</f>
        <v/>
      </c>
      <c r="I11" s="33">
        <f>24.87*(EXP(-((B11+6.5)^2)/(2*(7.5^2)))+EXP(-((B11-6.5)^2)/(2*(7.5^2))))</f>
        <v/>
      </c>
      <c r="J11" s="33">
        <f>33.16*(EXP(-((B11+6.5)^2)/(2*(7.5^2)))+EXP(-((B11-6.5)^2)/(2*(7.5^2))))</f>
        <v/>
      </c>
      <c r="K11" s="33">
        <f>(0.01*(3.15^2)*(4*(1-0.3)*15/(B11^2+225))*EXP(-1.38*(B11^2)/(18.15^2)))*1000</f>
        <v/>
      </c>
      <c r="L11" s="33">
        <f>ABS(H12-H10)/2</f>
        <v/>
      </c>
    </row>
    <row r="12">
      <c r="B12" s="11" t="n">
        <v>-44</v>
      </c>
      <c r="C12" s="32">
        <f>8.29*EXP(-(B12^2)/(2*(7.5^2)))</f>
        <v/>
      </c>
      <c r="D12" s="32">
        <f>16.58*EXP(-(B12^2)/(2*(7.5^2)))</f>
        <v/>
      </c>
      <c r="E12" s="32">
        <f>24.87*EXP(-(B12^2)/(2*(7.5^2)))</f>
        <v/>
      </c>
      <c r="F12" s="32">
        <f>33.16*EXP(-(B12^2)/(2*(7.5^2)))</f>
        <v/>
      </c>
      <c r="G12" s="32">
        <f>8.29*(EXP(-((B12+6.5)^2)/(2*(7.5^2)))+EXP(-((B12-6.5)^2)/(2*(7.5^2))))</f>
        <v/>
      </c>
      <c r="H12" s="32">
        <f>16.58*(EXP(-((B12+6.5)^2)/(2*(7.5^2)))+EXP(-((B12-6.5)^2)/(2*(7.5^2))))</f>
        <v/>
      </c>
      <c r="I12" s="32">
        <f>24.87*(EXP(-((B12+6.5)^2)/(2*(7.5^2)))+EXP(-((B12-6.5)^2)/(2*(7.5^2))))</f>
        <v/>
      </c>
      <c r="J12" s="32">
        <f>33.16*(EXP(-((B12+6.5)^2)/(2*(7.5^2)))+EXP(-((B12-6.5)^2)/(2*(7.5^2))))</f>
        <v/>
      </c>
      <c r="K12" s="32">
        <f>(0.01*(3.15^2)*(4*(1-0.3)*15/(B12^2+225))*EXP(-1.38*(B12^2)/(18.15^2)))*1000</f>
        <v/>
      </c>
      <c r="L12" s="32">
        <f>ABS(H13-H11)/2</f>
        <v/>
      </c>
    </row>
    <row r="13">
      <c r="B13" s="11" t="n">
        <v>-43</v>
      </c>
      <c r="C13" s="33">
        <f>8.29*EXP(-(B13^2)/(2*(7.5^2)))</f>
        <v/>
      </c>
      <c r="D13" s="33">
        <f>16.58*EXP(-(B13^2)/(2*(7.5^2)))</f>
        <v/>
      </c>
      <c r="E13" s="33">
        <f>24.87*EXP(-(B13^2)/(2*(7.5^2)))</f>
        <v/>
      </c>
      <c r="F13" s="33">
        <f>33.16*EXP(-(B13^2)/(2*(7.5^2)))</f>
        <v/>
      </c>
      <c r="G13" s="33">
        <f>8.29*(EXP(-((B13+6.5)^2)/(2*(7.5^2)))+EXP(-((B13-6.5)^2)/(2*(7.5^2))))</f>
        <v/>
      </c>
      <c r="H13" s="33">
        <f>16.58*(EXP(-((B13+6.5)^2)/(2*(7.5^2)))+EXP(-((B13-6.5)^2)/(2*(7.5^2))))</f>
        <v/>
      </c>
      <c r="I13" s="33">
        <f>24.87*(EXP(-((B13+6.5)^2)/(2*(7.5^2)))+EXP(-((B13-6.5)^2)/(2*(7.5^2))))</f>
        <v/>
      </c>
      <c r="J13" s="33">
        <f>33.16*(EXP(-((B13+6.5)^2)/(2*(7.5^2)))+EXP(-((B13-6.5)^2)/(2*(7.5^2))))</f>
        <v/>
      </c>
      <c r="K13" s="33">
        <f>(0.01*(3.15^2)*(4*(1-0.3)*15/(B13^2+225))*EXP(-1.38*(B13^2)/(18.15^2)))*1000</f>
        <v/>
      </c>
      <c r="L13" s="33">
        <f>ABS(H14-H12)/2</f>
        <v/>
      </c>
    </row>
    <row r="14">
      <c r="B14" s="11" t="n">
        <v>-42</v>
      </c>
      <c r="C14" s="32">
        <f>8.29*EXP(-(B14^2)/(2*(7.5^2)))</f>
        <v/>
      </c>
      <c r="D14" s="32">
        <f>16.58*EXP(-(B14^2)/(2*(7.5^2)))</f>
        <v/>
      </c>
      <c r="E14" s="32">
        <f>24.87*EXP(-(B14^2)/(2*(7.5^2)))</f>
        <v/>
      </c>
      <c r="F14" s="32">
        <f>33.16*EXP(-(B14^2)/(2*(7.5^2)))</f>
        <v/>
      </c>
      <c r="G14" s="32">
        <f>8.29*(EXP(-((B14+6.5)^2)/(2*(7.5^2)))+EXP(-((B14-6.5)^2)/(2*(7.5^2))))</f>
        <v/>
      </c>
      <c r="H14" s="32">
        <f>16.58*(EXP(-((B14+6.5)^2)/(2*(7.5^2)))+EXP(-((B14-6.5)^2)/(2*(7.5^2))))</f>
        <v/>
      </c>
      <c r="I14" s="32">
        <f>24.87*(EXP(-((B14+6.5)^2)/(2*(7.5^2)))+EXP(-((B14-6.5)^2)/(2*(7.5^2))))</f>
        <v/>
      </c>
      <c r="J14" s="32">
        <f>33.16*(EXP(-((B14+6.5)^2)/(2*(7.5^2)))+EXP(-((B14-6.5)^2)/(2*(7.5^2))))</f>
        <v/>
      </c>
      <c r="K14" s="32">
        <f>(0.01*(3.15^2)*(4*(1-0.3)*15/(B14^2+225))*EXP(-1.38*(B14^2)/(18.15^2)))*1000</f>
        <v/>
      </c>
      <c r="L14" s="32">
        <f>ABS(H15-H13)/2</f>
        <v/>
      </c>
    </row>
    <row r="15">
      <c r="B15" s="11" t="n">
        <v>-41</v>
      </c>
      <c r="C15" s="33">
        <f>8.29*EXP(-(B15^2)/(2*(7.5^2)))</f>
        <v/>
      </c>
      <c r="D15" s="33">
        <f>16.58*EXP(-(B15^2)/(2*(7.5^2)))</f>
        <v/>
      </c>
      <c r="E15" s="33">
        <f>24.87*EXP(-(B15^2)/(2*(7.5^2)))</f>
        <v/>
      </c>
      <c r="F15" s="33">
        <f>33.16*EXP(-(B15^2)/(2*(7.5^2)))</f>
        <v/>
      </c>
      <c r="G15" s="33">
        <f>8.29*(EXP(-((B15+6.5)^2)/(2*(7.5^2)))+EXP(-((B15-6.5)^2)/(2*(7.5^2))))</f>
        <v/>
      </c>
      <c r="H15" s="33">
        <f>16.58*(EXP(-((B15+6.5)^2)/(2*(7.5^2)))+EXP(-((B15-6.5)^2)/(2*(7.5^2))))</f>
        <v/>
      </c>
      <c r="I15" s="33">
        <f>24.87*(EXP(-((B15+6.5)^2)/(2*(7.5^2)))+EXP(-((B15-6.5)^2)/(2*(7.5^2))))</f>
        <v/>
      </c>
      <c r="J15" s="33">
        <f>33.16*(EXP(-((B15+6.5)^2)/(2*(7.5^2)))+EXP(-((B15-6.5)^2)/(2*(7.5^2))))</f>
        <v/>
      </c>
      <c r="K15" s="33">
        <f>(0.01*(3.15^2)*(4*(1-0.3)*15/(B15^2+225))*EXP(-1.38*(B15^2)/(18.15^2)))*1000</f>
        <v/>
      </c>
      <c r="L15" s="33">
        <f>ABS(H16-H14)/2</f>
        <v/>
      </c>
    </row>
    <row r="16">
      <c r="B16" s="11" t="n">
        <v>-40</v>
      </c>
      <c r="C16" s="32">
        <f>8.29*EXP(-(B16^2)/(2*(7.5^2)))</f>
        <v/>
      </c>
      <c r="D16" s="32">
        <f>16.58*EXP(-(B16^2)/(2*(7.5^2)))</f>
        <v/>
      </c>
      <c r="E16" s="32">
        <f>24.87*EXP(-(B16^2)/(2*(7.5^2)))</f>
        <v/>
      </c>
      <c r="F16" s="32">
        <f>33.16*EXP(-(B16^2)/(2*(7.5^2)))</f>
        <v/>
      </c>
      <c r="G16" s="32">
        <f>8.29*(EXP(-((B16+6.5)^2)/(2*(7.5^2)))+EXP(-((B16-6.5)^2)/(2*(7.5^2))))</f>
        <v/>
      </c>
      <c r="H16" s="32">
        <f>16.58*(EXP(-((B16+6.5)^2)/(2*(7.5^2)))+EXP(-((B16-6.5)^2)/(2*(7.5^2))))</f>
        <v/>
      </c>
      <c r="I16" s="32">
        <f>24.87*(EXP(-((B16+6.5)^2)/(2*(7.5^2)))+EXP(-((B16-6.5)^2)/(2*(7.5^2))))</f>
        <v/>
      </c>
      <c r="J16" s="32">
        <f>33.16*(EXP(-((B16+6.5)^2)/(2*(7.5^2)))+EXP(-((B16-6.5)^2)/(2*(7.5^2))))</f>
        <v/>
      </c>
      <c r="K16" s="32">
        <f>(0.01*(3.15^2)*(4*(1-0.3)*15/(B16^2+225))*EXP(-1.38*(B16^2)/(18.15^2)))*1000</f>
        <v/>
      </c>
      <c r="L16" s="32">
        <f>ABS(H17-H15)/2</f>
        <v/>
      </c>
    </row>
    <row r="17">
      <c r="B17" s="11" t="n">
        <v>-39</v>
      </c>
      <c r="C17" s="33">
        <f>8.29*EXP(-(B17^2)/(2*(7.5^2)))</f>
        <v/>
      </c>
      <c r="D17" s="33">
        <f>16.58*EXP(-(B17^2)/(2*(7.5^2)))</f>
        <v/>
      </c>
      <c r="E17" s="33">
        <f>24.87*EXP(-(B17^2)/(2*(7.5^2)))</f>
        <v/>
      </c>
      <c r="F17" s="33">
        <f>33.16*EXP(-(B17^2)/(2*(7.5^2)))</f>
        <v/>
      </c>
      <c r="G17" s="33">
        <f>8.29*(EXP(-((B17+6.5)^2)/(2*(7.5^2)))+EXP(-((B17-6.5)^2)/(2*(7.5^2))))</f>
        <v/>
      </c>
      <c r="H17" s="33">
        <f>16.58*(EXP(-((B17+6.5)^2)/(2*(7.5^2)))+EXP(-((B17-6.5)^2)/(2*(7.5^2))))</f>
        <v/>
      </c>
      <c r="I17" s="33">
        <f>24.87*(EXP(-((B17+6.5)^2)/(2*(7.5^2)))+EXP(-((B17-6.5)^2)/(2*(7.5^2))))</f>
        <v/>
      </c>
      <c r="J17" s="33">
        <f>33.16*(EXP(-((B17+6.5)^2)/(2*(7.5^2)))+EXP(-((B17-6.5)^2)/(2*(7.5^2))))</f>
        <v/>
      </c>
      <c r="K17" s="33">
        <f>(0.01*(3.15^2)*(4*(1-0.3)*15/(B17^2+225))*EXP(-1.38*(B17^2)/(18.15^2)))*1000</f>
        <v/>
      </c>
      <c r="L17" s="33">
        <f>ABS(H18-H16)/2</f>
        <v/>
      </c>
    </row>
    <row r="18">
      <c r="B18" s="11" t="n">
        <v>-38</v>
      </c>
      <c r="C18" s="32">
        <f>8.29*EXP(-(B18^2)/(2*(7.5^2)))</f>
        <v/>
      </c>
      <c r="D18" s="32">
        <f>16.58*EXP(-(B18^2)/(2*(7.5^2)))</f>
        <v/>
      </c>
      <c r="E18" s="32">
        <f>24.87*EXP(-(B18^2)/(2*(7.5^2)))</f>
        <v/>
      </c>
      <c r="F18" s="32">
        <f>33.16*EXP(-(B18^2)/(2*(7.5^2)))</f>
        <v/>
      </c>
      <c r="G18" s="32">
        <f>8.29*(EXP(-((B18+6.5)^2)/(2*(7.5^2)))+EXP(-((B18-6.5)^2)/(2*(7.5^2))))</f>
        <v/>
      </c>
      <c r="H18" s="32">
        <f>16.58*(EXP(-((B18+6.5)^2)/(2*(7.5^2)))+EXP(-((B18-6.5)^2)/(2*(7.5^2))))</f>
        <v/>
      </c>
      <c r="I18" s="32">
        <f>24.87*(EXP(-((B18+6.5)^2)/(2*(7.5^2)))+EXP(-((B18-6.5)^2)/(2*(7.5^2))))</f>
        <v/>
      </c>
      <c r="J18" s="32">
        <f>33.16*(EXP(-((B18+6.5)^2)/(2*(7.5^2)))+EXP(-((B18-6.5)^2)/(2*(7.5^2))))</f>
        <v/>
      </c>
      <c r="K18" s="32">
        <f>(0.01*(3.15^2)*(4*(1-0.3)*15/(B18^2+225))*EXP(-1.38*(B18^2)/(18.15^2)))*1000</f>
        <v/>
      </c>
      <c r="L18" s="32">
        <f>ABS(H19-H17)/2</f>
        <v/>
      </c>
    </row>
    <row r="19">
      <c r="B19" s="11" t="n">
        <v>-37</v>
      </c>
      <c r="C19" s="33">
        <f>8.29*EXP(-(B19^2)/(2*(7.5^2)))</f>
        <v/>
      </c>
      <c r="D19" s="33">
        <f>16.58*EXP(-(B19^2)/(2*(7.5^2)))</f>
        <v/>
      </c>
      <c r="E19" s="33">
        <f>24.87*EXP(-(B19^2)/(2*(7.5^2)))</f>
        <v/>
      </c>
      <c r="F19" s="33">
        <f>33.16*EXP(-(B19^2)/(2*(7.5^2)))</f>
        <v/>
      </c>
      <c r="G19" s="33">
        <f>8.29*(EXP(-((B19+6.5)^2)/(2*(7.5^2)))+EXP(-((B19-6.5)^2)/(2*(7.5^2))))</f>
        <v/>
      </c>
      <c r="H19" s="33">
        <f>16.58*(EXP(-((B19+6.5)^2)/(2*(7.5^2)))+EXP(-((B19-6.5)^2)/(2*(7.5^2))))</f>
        <v/>
      </c>
      <c r="I19" s="33">
        <f>24.87*(EXP(-((B19+6.5)^2)/(2*(7.5^2)))+EXP(-((B19-6.5)^2)/(2*(7.5^2))))</f>
        <v/>
      </c>
      <c r="J19" s="33">
        <f>33.16*(EXP(-((B19+6.5)^2)/(2*(7.5^2)))+EXP(-((B19-6.5)^2)/(2*(7.5^2))))</f>
        <v/>
      </c>
      <c r="K19" s="33">
        <f>(0.01*(3.15^2)*(4*(1-0.3)*15/(B19^2+225))*EXP(-1.38*(B19^2)/(18.15^2)))*1000</f>
        <v/>
      </c>
      <c r="L19" s="33">
        <f>ABS(H20-H18)/2</f>
        <v/>
      </c>
    </row>
    <row r="20">
      <c r="B20" s="11" t="n">
        <v>-36</v>
      </c>
      <c r="C20" s="32">
        <f>8.29*EXP(-(B20^2)/(2*(7.5^2)))</f>
        <v/>
      </c>
      <c r="D20" s="32">
        <f>16.58*EXP(-(B20^2)/(2*(7.5^2)))</f>
        <v/>
      </c>
      <c r="E20" s="32">
        <f>24.87*EXP(-(B20^2)/(2*(7.5^2)))</f>
        <v/>
      </c>
      <c r="F20" s="32">
        <f>33.16*EXP(-(B20^2)/(2*(7.5^2)))</f>
        <v/>
      </c>
      <c r="G20" s="32">
        <f>8.29*(EXP(-((B20+6.5)^2)/(2*(7.5^2)))+EXP(-((B20-6.5)^2)/(2*(7.5^2))))</f>
        <v/>
      </c>
      <c r="H20" s="32">
        <f>16.58*(EXP(-((B20+6.5)^2)/(2*(7.5^2)))+EXP(-((B20-6.5)^2)/(2*(7.5^2))))</f>
        <v/>
      </c>
      <c r="I20" s="32">
        <f>24.87*(EXP(-((B20+6.5)^2)/(2*(7.5^2)))+EXP(-((B20-6.5)^2)/(2*(7.5^2))))</f>
        <v/>
      </c>
      <c r="J20" s="32">
        <f>33.16*(EXP(-((B20+6.5)^2)/(2*(7.5^2)))+EXP(-((B20-6.5)^2)/(2*(7.5^2))))</f>
        <v/>
      </c>
      <c r="K20" s="32">
        <f>(0.01*(3.15^2)*(4*(1-0.3)*15/(B20^2+225))*EXP(-1.38*(B20^2)/(18.15^2)))*1000</f>
        <v/>
      </c>
      <c r="L20" s="32">
        <f>ABS(H21-H19)/2</f>
        <v/>
      </c>
    </row>
    <row r="21">
      <c r="B21" s="11" t="n">
        <v>-35</v>
      </c>
      <c r="C21" s="33">
        <f>8.29*EXP(-(B21^2)/(2*(7.5^2)))</f>
        <v/>
      </c>
      <c r="D21" s="33">
        <f>16.58*EXP(-(B21^2)/(2*(7.5^2)))</f>
        <v/>
      </c>
      <c r="E21" s="33">
        <f>24.87*EXP(-(B21^2)/(2*(7.5^2)))</f>
        <v/>
      </c>
      <c r="F21" s="33">
        <f>33.16*EXP(-(B21^2)/(2*(7.5^2)))</f>
        <v/>
      </c>
      <c r="G21" s="33">
        <f>8.29*(EXP(-((B21+6.5)^2)/(2*(7.5^2)))+EXP(-((B21-6.5)^2)/(2*(7.5^2))))</f>
        <v/>
      </c>
      <c r="H21" s="33">
        <f>16.58*(EXP(-((B21+6.5)^2)/(2*(7.5^2)))+EXP(-((B21-6.5)^2)/(2*(7.5^2))))</f>
        <v/>
      </c>
      <c r="I21" s="33">
        <f>24.87*(EXP(-((B21+6.5)^2)/(2*(7.5^2)))+EXP(-((B21-6.5)^2)/(2*(7.5^2))))</f>
        <v/>
      </c>
      <c r="J21" s="33">
        <f>33.16*(EXP(-((B21+6.5)^2)/(2*(7.5^2)))+EXP(-((B21-6.5)^2)/(2*(7.5^2))))</f>
        <v/>
      </c>
      <c r="K21" s="33">
        <f>(0.01*(3.15^2)*(4*(1-0.3)*15/(B21^2+225))*EXP(-1.38*(B21^2)/(18.15^2)))*1000</f>
        <v/>
      </c>
      <c r="L21" s="33">
        <f>ABS(H22-H20)/2</f>
        <v/>
      </c>
    </row>
    <row r="22">
      <c r="B22" s="11" t="n">
        <v>-34</v>
      </c>
      <c r="C22" s="32">
        <f>8.29*EXP(-(B22^2)/(2*(7.5^2)))</f>
        <v/>
      </c>
      <c r="D22" s="32">
        <f>16.58*EXP(-(B22^2)/(2*(7.5^2)))</f>
        <v/>
      </c>
      <c r="E22" s="32">
        <f>24.87*EXP(-(B22^2)/(2*(7.5^2)))</f>
        <v/>
      </c>
      <c r="F22" s="32">
        <f>33.16*EXP(-(B22^2)/(2*(7.5^2)))</f>
        <v/>
      </c>
      <c r="G22" s="32">
        <f>8.29*(EXP(-((B22+6.5)^2)/(2*(7.5^2)))+EXP(-((B22-6.5)^2)/(2*(7.5^2))))</f>
        <v/>
      </c>
      <c r="H22" s="32">
        <f>16.58*(EXP(-((B22+6.5)^2)/(2*(7.5^2)))+EXP(-((B22-6.5)^2)/(2*(7.5^2))))</f>
        <v/>
      </c>
      <c r="I22" s="32">
        <f>24.87*(EXP(-((B22+6.5)^2)/(2*(7.5^2)))+EXP(-((B22-6.5)^2)/(2*(7.5^2))))</f>
        <v/>
      </c>
      <c r="J22" s="32">
        <f>33.16*(EXP(-((B22+6.5)^2)/(2*(7.5^2)))+EXP(-((B22-6.5)^2)/(2*(7.5^2))))</f>
        <v/>
      </c>
      <c r="K22" s="32">
        <f>(0.01*(3.15^2)*(4*(1-0.3)*15/(B22^2+225))*EXP(-1.38*(B22^2)/(18.15^2)))*1000</f>
        <v/>
      </c>
      <c r="L22" s="32">
        <f>ABS(H23-H21)/2</f>
        <v/>
      </c>
    </row>
    <row r="23">
      <c r="B23" s="11" t="n">
        <v>-33</v>
      </c>
      <c r="C23" s="33">
        <f>8.29*EXP(-(B23^2)/(2*(7.5^2)))</f>
        <v/>
      </c>
      <c r="D23" s="33">
        <f>16.58*EXP(-(B23^2)/(2*(7.5^2)))</f>
        <v/>
      </c>
      <c r="E23" s="33">
        <f>24.87*EXP(-(B23^2)/(2*(7.5^2)))</f>
        <v/>
      </c>
      <c r="F23" s="33">
        <f>33.16*EXP(-(B23^2)/(2*(7.5^2)))</f>
        <v/>
      </c>
      <c r="G23" s="33">
        <f>8.29*(EXP(-((B23+6.5)^2)/(2*(7.5^2)))+EXP(-((B23-6.5)^2)/(2*(7.5^2))))</f>
        <v/>
      </c>
      <c r="H23" s="33">
        <f>16.58*(EXP(-((B23+6.5)^2)/(2*(7.5^2)))+EXP(-((B23-6.5)^2)/(2*(7.5^2))))</f>
        <v/>
      </c>
      <c r="I23" s="33">
        <f>24.87*(EXP(-((B23+6.5)^2)/(2*(7.5^2)))+EXP(-((B23-6.5)^2)/(2*(7.5^2))))</f>
        <v/>
      </c>
      <c r="J23" s="33">
        <f>33.16*(EXP(-((B23+6.5)^2)/(2*(7.5^2)))+EXP(-((B23-6.5)^2)/(2*(7.5^2))))</f>
        <v/>
      </c>
      <c r="K23" s="33">
        <f>(0.01*(3.15^2)*(4*(1-0.3)*15/(B23^2+225))*EXP(-1.38*(B23^2)/(18.15^2)))*1000</f>
        <v/>
      </c>
      <c r="L23" s="33">
        <f>ABS(H24-H22)/2</f>
        <v/>
      </c>
    </row>
    <row r="24">
      <c r="B24" s="11" t="n">
        <v>-32</v>
      </c>
      <c r="C24" s="32">
        <f>8.29*EXP(-(B24^2)/(2*(7.5^2)))</f>
        <v/>
      </c>
      <c r="D24" s="32">
        <f>16.58*EXP(-(B24^2)/(2*(7.5^2)))</f>
        <v/>
      </c>
      <c r="E24" s="32">
        <f>24.87*EXP(-(B24^2)/(2*(7.5^2)))</f>
        <v/>
      </c>
      <c r="F24" s="32">
        <f>33.16*EXP(-(B24^2)/(2*(7.5^2)))</f>
        <v/>
      </c>
      <c r="G24" s="32">
        <f>8.29*(EXP(-((B24+6.5)^2)/(2*(7.5^2)))+EXP(-((B24-6.5)^2)/(2*(7.5^2))))</f>
        <v/>
      </c>
      <c r="H24" s="32">
        <f>16.58*(EXP(-((B24+6.5)^2)/(2*(7.5^2)))+EXP(-((B24-6.5)^2)/(2*(7.5^2))))</f>
        <v/>
      </c>
      <c r="I24" s="32">
        <f>24.87*(EXP(-((B24+6.5)^2)/(2*(7.5^2)))+EXP(-((B24-6.5)^2)/(2*(7.5^2))))</f>
        <v/>
      </c>
      <c r="J24" s="32">
        <f>33.16*(EXP(-((B24+6.5)^2)/(2*(7.5^2)))+EXP(-((B24-6.5)^2)/(2*(7.5^2))))</f>
        <v/>
      </c>
      <c r="K24" s="32">
        <f>(0.01*(3.15^2)*(4*(1-0.3)*15/(B24^2+225))*EXP(-1.38*(B24^2)/(18.15^2)))*1000</f>
        <v/>
      </c>
      <c r="L24" s="32">
        <f>ABS(H25-H23)/2</f>
        <v/>
      </c>
    </row>
    <row r="25">
      <c r="B25" s="11" t="n">
        <v>-31</v>
      </c>
      <c r="C25" s="33">
        <f>8.29*EXP(-(B25^2)/(2*(7.5^2)))</f>
        <v/>
      </c>
      <c r="D25" s="33">
        <f>16.58*EXP(-(B25^2)/(2*(7.5^2)))</f>
        <v/>
      </c>
      <c r="E25" s="33">
        <f>24.87*EXP(-(B25^2)/(2*(7.5^2)))</f>
        <v/>
      </c>
      <c r="F25" s="33">
        <f>33.16*EXP(-(B25^2)/(2*(7.5^2)))</f>
        <v/>
      </c>
      <c r="G25" s="33">
        <f>8.29*(EXP(-((B25+6.5)^2)/(2*(7.5^2)))+EXP(-((B25-6.5)^2)/(2*(7.5^2))))</f>
        <v/>
      </c>
      <c r="H25" s="33">
        <f>16.58*(EXP(-((B25+6.5)^2)/(2*(7.5^2)))+EXP(-((B25-6.5)^2)/(2*(7.5^2))))</f>
        <v/>
      </c>
      <c r="I25" s="33">
        <f>24.87*(EXP(-((B25+6.5)^2)/(2*(7.5^2)))+EXP(-((B25-6.5)^2)/(2*(7.5^2))))</f>
        <v/>
      </c>
      <c r="J25" s="33">
        <f>33.16*(EXP(-((B25+6.5)^2)/(2*(7.5^2)))+EXP(-((B25-6.5)^2)/(2*(7.5^2))))</f>
        <v/>
      </c>
      <c r="K25" s="33">
        <f>(0.01*(3.15^2)*(4*(1-0.3)*15/(B25^2+225))*EXP(-1.38*(B25^2)/(18.15^2)))*1000</f>
        <v/>
      </c>
      <c r="L25" s="33">
        <f>ABS(H26-H24)/2</f>
        <v/>
      </c>
    </row>
    <row r="26">
      <c r="B26" s="11" t="n">
        <v>-30</v>
      </c>
      <c r="C26" s="32">
        <f>8.29*EXP(-(B26^2)/(2*(7.5^2)))</f>
        <v/>
      </c>
      <c r="D26" s="32">
        <f>16.58*EXP(-(B26^2)/(2*(7.5^2)))</f>
        <v/>
      </c>
      <c r="E26" s="32">
        <f>24.87*EXP(-(B26^2)/(2*(7.5^2)))</f>
        <v/>
      </c>
      <c r="F26" s="32">
        <f>33.16*EXP(-(B26^2)/(2*(7.5^2)))</f>
        <v/>
      </c>
      <c r="G26" s="32">
        <f>8.29*(EXP(-((B26+6.5)^2)/(2*(7.5^2)))+EXP(-((B26-6.5)^2)/(2*(7.5^2))))</f>
        <v/>
      </c>
      <c r="H26" s="32">
        <f>16.58*(EXP(-((B26+6.5)^2)/(2*(7.5^2)))+EXP(-((B26-6.5)^2)/(2*(7.5^2))))</f>
        <v/>
      </c>
      <c r="I26" s="32">
        <f>24.87*(EXP(-((B26+6.5)^2)/(2*(7.5^2)))+EXP(-((B26-6.5)^2)/(2*(7.5^2))))</f>
        <v/>
      </c>
      <c r="J26" s="32">
        <f>33.16*(EXP(-((B26+6.5)^2)/(2*(7.5^2)))+EXP(-((B26-6.5)^2)/(2*(7.5^2))))</f>
        <v/>
      </c>
      <c r="K26" s="32">
        <f>(0.01*(3.15^2)*(4*(1-0.3)*15/(B26^2+225))*EXP(-1.38*(B26^2)/(18.15^2)))*1000</f>
        <v/>
      </c>
      <c r="L26" s="32">
        <f>ABS(H27-H25)/2</f>
        <v/>
      </c>
    </row>
    <row r="27">
      <c r="B27" s="11" t="n">
        <v>-29</v>
      </c>
      <c r="C27" s="33">
        <f>8.29*EXP(-(B27^2)/(2*(7.5^2)))</f>
        <v/>
      </c>
      <c r="D27" s="33">
        <f>16.58*EXP(-(B27^2)/(2*(7.5^2)))</f>
        <v/>
      </c>
      <c r="E27" s="33">
        <f>24.87*EXP(-(B27^2)/(2*(7.5^2)))</f>
        <v/>
      </c>
      <c r="F27" s="33">
        <f>33.16*EXP(-(B27^2)/(2*(7.5^2)))</f>
        <v/>
      </c>
      <c r="G27" s="33">
        <f>8.29*(EXP(-((B27+6.5)^2)/(2*(7.5^2)))+EXP(-((B27-6.5)^2)/(2*(7.5^2))))</f>
        <v/>
      </c>
      <c r="H27" s="33">
        <f>16.58*(EXP(-((B27+6.5)^2)/(2*(7.5^2)))+EXP(-((B27-6.5)^2)/(2*(7.5^2))))</f>
        <v/>
      </c>
      <c r="I27" s="33">
        <f>24.87*(EXP(-((B27+6.5)^2)/(2*(7.5^2)))+EXP(-((B27-6.5)^2)/(2*(7.5^2))))</f>
        <v/>
      </c>
      <c r="J27" s="33">
        <f>33.16*(EXP(-((B27+6.5)^2)/(2*(7.5^2)))+EXP(-((B27-6.5)^2)/(2*(7.5^2))))</f>
        <v/>
      </c>
      <c r="K27" s="33">
        <f>(0.01*(3.15^2)*(4*(1-0.3)*15/(B27^2+225))*EXP(-1.38*(B27^2)/(18.15^2)))*1000</f>
        <v/>
      </c>
      <c r="L27" s="33">
        <f>ABS(H28-H26)/2</f>
        <v/>
      </c>
    </row>
    <row r="28">
      <c r="B28" s="11" t="n">
        <v>-28</v>
      </c>
      <c r="C28" s="32">
        <f>8.29*EXP(-(B28^2)/(2*(7.5^2)))</f>
        <v/>
      </c>
      <c r="D28" s="32">
        <f>16.58*EXP(-(B28^2)/(2*(7.5^2)))</f>
        <v/>
      </c>
      <c r="E28" s="32">
        <f>24.87*EXP(-(B28^2)/(2*(7.5^2)))</f>
        <v/>
      </c>
      <c r="F28" s="32">
        <f>33.16*EXP(-(B28^2)/(2*(7.5^2)))</f>
        <v/>
      </c>
      <c r="G28" s="32">
        <f>8.29*(EXP(-((B28+6.5)^2)/(2*(7.5^2)))+EXP(-((B28-6.5)^2)/(2*(7.5^2))))</f>
        <v/>
      </c>
      <c r="H28" s="32">
        <f>16.58*(EXP(-((B28+6.5)^2)/(2*(7.5^2)))+EXP(-((B28-6.5)^2)/(2*(7.5^2))))</f>
        <v/>
      </c>
      <c r="I28" s="32">
        <f>24.87*(EXP(-((B28+6.5)^2)/(2*(7.5^2)))+EXP(-((B28-6.5)^2)/(2*(7.5^2))))</f>
        <v/>
      </c>
      <c r="J28" s="32">
        <f>33.16*(EXP(-((B28+6.5)^2)/(2*(7.5^2)))+EXP(-((B28-6.5)^2)/(2*(7.5^2))))</f>
        <v/>
      </c>
      <c r="K28" s="32">
        <f>(0.01*(3.15^2)*(4*(1-0.3)*15/(B28^2+225))*EXP(-1.38*(B28^2)/(18.15^2)))*1000</f>
        <v/>
      </c>
      <c r="L28" s="32">
        <f>ABS(H29-H27)/2</f>
        <v/>
      </c>
    </row>
    <row r="29">
      <c r="B29" s="11" t="n">
        <v>-27</v>
      </c>
      <c r="C29" s="33">
        <f>8.29*EXP(-(B29^2)/(2*(7.5^2)))</f>
        <v/>
      </c>
      <c r="D29" s="33">
        <f>16.58*EXP(-(B29^2)/(2*(7.5^2)))</f>
        <v/>
      </c>
      <c r="E29" s="33">
        <f>24.87*EXP(-(B29^2)/(2*(7.5^2)))</f>
        <v/>
      </c>
      <c r="F29" s="33">
        <f>33.16*EXP(-(B29^2)/(2*(7.5^2)))</f>
        <v/>
      </c>
      <c r="G29" s="33">
        <f>8.29*(EXP(-((B29+6.5)^2)/(2*(7.5^2)))+EXP(-((B29-6.5)^2)/(2*(7.5^2))))</f>
        <v/>
      </c>
      <c r="H29" s="33">
        <f>16.58*(EXP(-((B29+6.5)^2)/(2*(7.5^2)))+EXP(-((B29-6.5)^2)/(2*(7.5^2))))</f>
        <v/>
      </c>
      <c r="I29" s="33">
        <f>24.87*(EXP(-((B29+6.5)^2)/(2*(7.5^2)))+EXP(-((B29-6.5)^2)/(2*(7.5^2))))</f>
        <v/>
      </c>
      <c r="J29" s="33">
        <f>33.16*(EXP(-((B29+6.5)^2)/(2*(7.5^2)))+EXP(-((B29-6.5)^2)/(2*(7.5^2))))</f>
        <v/>
      </c>
      <c r="K29" s="33">
        <f>(0.01*(3.15^2)*(4*(1-0.3)*15/(B29^2+225))*EXP(-1.38*(B29^2)/(18.15^2)))*1000</f>
        <v/>
      </c>
      <c r="L29" s="33">
        <f>ABS(H30-H28)/2</f>
        <v/>
      </c>
    </row>
    <row r="30">
      <c r="B30" s="11" t="n">
        <v>-26</v>
      </c>
      <c r="C30" s="32">
        <f>8.29*EXP(-(B30^2)/(2*(7.5^2)))</f>
        <v/>
      </c>
      <c r="D30" s="32">
        <f>16.58*EXP(-(B30^2)/(2*(7.5^2)))</f>
        <v/>
      </c>
      <c r="E30" s="32">
        <f>24.87*EXP(-(B30^2)/(2*(7.5^2)))</f>
        <v/>
      </c>
      <c r="F30" s="32">
        <f>33.16*EXP(-(B30^2)/(2*(7.5^2)))</f>
        <v/>
      </c>
      <c r="G30" s="32">
        <f>8.29*(EXP(-((B30+6.5)^2)/(2*(7.5^2)))+EXP(-((B30-6.5)^2)/(2*(7.5^2))))</f>
        <v/>
      </c>
      <c r="H30" s="32">
        <f>16.58*(EXP(-((B30+6.5)^2)/(2*(7.5^2)))+EXP(-((B30-6.5)^2)/(2*(7.5^2))))</f>
        <v/>
      </c>
      <c r="I30" s="32">
        <f>24.87*(EXP(-((B30+6.5)^2)/(2*(7.5^2)))+EXP(-((B30-6.5)^2)/(2*(7.5^2))))</f>
        <v/>
      </c>
      <c r="J30" s="32">
        <f>33.16*(EXP(-((B30+6.5)^2)/(2*(7.5^2)))+EXP(-((B30-6.5)^2)/(2*(7.5^2))))</f>
        <v/>
      </c>
      <c r="K30" s="32">
        <f>(0.01*(3.15^2)*(4*(1-0.3)*15/(B30^2+225))*EXP(-1.38*(B30^2)/(18.15^2)))*1000</f>
        <v/>
      </c>
      <c r="L30" s="32">
        <f>ABS(H31-H29)/2</f>
        <v/>
      </c>
    </row>
    <row r="31">
      <c r="B31" s="11" t="n">
        <v>-25</v>
      </c>
      <c r="C31" s="33">
        <f>8.29*EXP(-(B31^2)/(2*(7.5^2)))</f>
        <v/>
      </c>
      <c r="D31" s="33">
        <f>16.58*EXP(-(B31^2)/(2*(7.5^2)))</f>
        <v/>
      </c>
      <c r="E31" s="33">
        <f>24.87*EXP(-(B31^2)/(2*(7.5^2)))</f>
        <v/>
      </c>
      <c r="F31" s="33">
        <f>33.16*EXP(-(B31^2)/(2*(7.5^2)))</f>
        <v/>
      </c>
      <c r="G31" s="33">
        <f>8.29*(EXP(-((B31+6.5)^2)/(2*(7.5^2)))+EXP(-((B31-6.5)^2)/(2*(7.5^2))))</f>
        <v/>
      </c>
      <c r="H31" s="33">
        <f>16.58*(EXP(-((B31+6.5)^2)/(2*(7.5^2)))+EXP(-((B31-6.5)^2)/(2*(7.5^2))))</f>
        <v/>
      </c>
      <c r="I31" s="33">
        <f>24.87*(EXP(-((B31+6.5)^2)/(2*(7.5^2)))+EXP(-((B31-6.5)^2)/(2*(7.5^2))))</f>
        <v/>
      </c>
      <c r="J31" s="33">
        <f>33.16*(EXP(-((B31+6.5)^2)/(2*(7.5^2)))+EXP(-((B31-6.5)^2)/(2*(7.5^2))))</f>
        <v/>
      </c>
      <c r="K31" s="33">
        <f>(0.01*(3.15^2)*(4*(1-0.3)*15/(B31^2+225))*EXP(-1.38*(B31^2)/(18.15^2)))*1000</f>
        <v/>
      </c>
      <c r="L31" s="33">
        <f>ABS(H32-H30)/2</f>
        <v/>
      </c>
    </row>
    <row r="32">
      <c r="B32" s="11" t="n">
        <v>-24</v>
      </c>
      <c r="C32" s="32">
        <f>8.29*EXP(-(B32^2)/(2*(7.5^2)))</f>
        <v/>
      </c>
      <c r="D32" s="32">
        <f>16.58*EXP(-(B32^2)/(2*(7.5^2)))</f>
        <v/>
      </c>
      <c r="E32" s="32">
        <f>24.87*EXP(-(B32^2)/(2*(7.5^2)))</f>
        <v/>
      </c>
      <c r="F32" s="32">
        <f>33.16*EXP(-(B32^2)/(2*(7.5^2)))</f>
        <v/>
      </c>
      <c r="G32" s="32">
        <f>8.29*(EXP(-((B32+6.5)^2)/(2*(7.5^2)))+EXP(-((B32-6.5)^2)/(2*(7.5^2))))</f>
        <v/>
      </c>
      <c r="H32" s="32">
        <f>16.58*(EXP(-((B32+6.5)^2)/(2*(7.5^2)))+EXP(-((B32-6.5)^2)/(2*(7.5^2))))</f>
        <v/>
      </c>
      <c r="I32" s="32">
        <f>24.87*(EXP(-((B32+6.5)^2)/(2*(7.5^2)))+EXP(-((B32-6.5)^2)/(2*(7.5^2))))</f>
        <v/>
      </c>
      <c r="J32" s="32">
        <f>33.16*(EXP(-((B32+6.5)^2)/(2*(7.5^2)))+EXP(-((B32-6.5)^2)/(2*(7.5^2))))</f>
        <v/>
      </c>
      <c r="K32" s="32">
        <f>(0.01*(3.15^2)*(4*(1-0.3)*15/(B32^2+225))*EXP(-1.38*(B32^2)/(18.15^2)))*1000</f>
        <v/>
      </c>
      <c r="L32" s="32">
        <f>ABS(H33-H31)/2</f>
        <v/>
      </c>
    </row>
    <row r="33">
      <c r="B33" s="11" t="n">
        <v>-23</v>
      </c>
      <c r="C33" s="33">
        <f>8.29*EXP(-(B33^2)/(2*(7.5^2)))</f>
        <v/>
      </c>
      <c r="D33" s="33">
        <f>16.58*EXP(-(B33^2)/(2*(7.5^2)))</f>
        <v/>
      </c>
      <c r="E33" s="33">
        <f>24.87*EXP(-(B33^2)/(2*(7.5^2)))</f>
        <v/>
      </c>
      <c r="F33" s="33">
        <f>33.16*EXP(-(B33^2)/(2*(7.5^2)))</f>
        <v/>
      </c>
      <c r="G33" s="33">
        <f>8.29*(EXP(-((B33+6.5)^2)/(2*(7.5^2)))+EXP(-((B33-6.5)^2)/(2*(7.5^2))))</f>
        <v/>
      </c>
      <c r="H33" s="33">
        <f>16.58*(EXP(-((B33+6.5)^2)/(2*(7.5^2)))+EXP(-((B33-6.5)^2)/(2*(7.5^2))))</f>
        <v/>
      </c>
      <c r="I33" s="33">
        <f>24.87*(EXP(-((B33+6.5)^2)/(2*(7.5^2)))+EXP(-((B33-6.5)^2)/(2*(7.5^2))))</f>
        <v/>
      </c>
      <c r="J33" s="33">
        <f>33.16*(EXP(-((B33+6.5)^2)/(2*(7.5^2)))+EXP(-((B33-6.5)^2)/(2*(7.5^2))))</f>
        <v/>
      </c>
      <c r="K33" s="33">
        <f>(0.01*(3.15^2)*(4*(1-0.3)*15/(B33^2+225))*EXP(-1.38*(B33^2)/(18.15^2)))*1000</f>
        <v/>
      </c>
      <c r="L33" s="33">
        <f>ABS(H34-H32)/2</f>
        <v/>
      </c>
    </row>
    <row r="34">
      <c r="B34" s="11" t="n">
        <v>-22</v>
      </c>
      <c r="C34" s="32">
        <f>8.29*EXP(-(B34^2)/(2*(7.5^2)))</f>
        <v/>
      </c>
      <c r="D34" s="32">
        <f>16.58*EXP(-(B34^2)/(2*(7.5^2)))</f>
        <v/>
      </c>
      <c r="E34" s="32">
        <f>24.87*EXP(-(B34^2)/(2*(7.5^2)))</f>
        <v/>
      </c>
      <c r="F34" s="32">
        <f>33.16*EXP(-(B34^2)/(2*(7.5^2)))</f>
        <v/>
      </c>
      <c r="G34" s="32">
        <f>8.29*(EXP(-((B34+6.5)^2)/(2*(7.5^2)))+EXP(-((B34-6.5)^2)/(2*(7.5^2))))</f>
        <v/>
      </c>
      <c r="H34" s="32">
        <f>16.58*(EXP(-((B34+6.5)^2)/(2*(7.5^2)))+EXP(-((B34-6.5)^2)/(2*(7.5^2))))</f>
        <v/>
      </c>
      <c r="I34" s="32">
        <f>24.87*(EXP(-((B34+6.5)^2)/(2*(7.5^2)))+EXP(-((B34-6.5)^2)/(2*(7.5^2))))</f>
        <v/>
      </c>
      <c r="J34" s="32">
        <f>33.16*(EXP(-((B34+6.5)^2)/(2*(7.5^2)))+EXP(-((B34-6.5)^2)/(2*(7.5^2))))</f>
        <v/>
      </c>
      <c r="K34" s="32">
        <f>(0.01*(3.15^2)*(4*(1-0.3)*15/(B34^2+225))*EXP(-1.38*(B34^2)/(18.15^2)))*1000</f>
        <v/>
      </c>
      <c r="L34" s="32">
        <f>ABS(H35-H33)/2</f>
        <v/>
      </c>
    </row>
    <row r="35">
      <c r="B35" s="11" t="n">
        <v>-21</v>
      </c>
      <c r="C35" s="33">
        <f>8.29*EXP(-(B35^2)/(2*(7.5^2)))</f>
        <v/>
      </c>
      <c r="D35" s="33">
        <f>16.58*EXP(-(B35^2)/(2*(7.5^2)))</f>
        <v/>
      </c>
      <c r="E35" s="33">
        <f>24.87*EXP(-(B35^2)/(2*(7.5^2)))</f>
        <v/>
      </c>
      <c r="F35" s="33">
        <f>33.16*EXP(-(B35^2)/(2*(7.5^2)))</f>
        <v/>
      </c>
      <c r="G35" s="33">
        <f>8.29*(EXP(-((B35+6.5)^2)/(2*(7.5^2)))+EXP(-((B35-6.5)^2)/(2*(7.5^2))))</f>
        <v/>
      </c>
      <c r="H35" s="33">
        <f>16.58*(EXP(-((B35+6.5)^2)/(2*(7.5^2)))+EXP(-((B35-6.5)^2)/(2*(7.5^2))))</f>
        <v/>
      </c>
      <c r="I35" s="33">
        <f>24.87*(EXP(-((B35+6.5)^2)/(2*(7.5^2)))+EXP(-((B35-6.5)^2)/(2*(7.5^2))))</f>
        <v/>
      </c>
      <c r="J35" s="33">
        <f>33.16*(EXP(-((B35+6.5)^2)/(2*(7.5^2)))+EXP(-((B35-6.5)^2)/(2*(7.5^2))))</f>
        <v/>
      </c>
      <c r="K35" s="33">
        <f>(0.01*(3.15^2)*(4*(1-0.3)*15/(B35^2+225))*EXP(-1.38*(B35^2)/(18.15^2)))*1000</f>
        <v/>
      </c>
      <c r="L35" s="33">
        <f>ABS(H36-H34)/2</f>
        <v/>
      </c>
    </row>
    <row r="36">
      <c r="B36" s="11" t="n">
        <v>-20</v>
      </c>
      <c r="C36" s="32">
        <f>8.29*EXP(-(B36^2)/(2*(7.5^2)))</f>
        <v/>
      </c>
      <c r="D36" s="32">
        <f>16.58*EXP(-(B36^2)/(2*(7.5^2)))</f>
        <v/>
      </c>
      <c r="E36" s="32">
        <f>24.87*EXP(-(B36^2)/(2*(7.5^2)))</f>
        <v/>
      </c>
      <c r="F36" s="32">
        <f>33.16*EXP(-(B36^2)/(2*(7.5^2)))</f>
        <v/>
      </c>
      <c r="G36" s="32">
        <f>8.29*(EXP(-((B36+6.5)^2)/(2*(7.5^2)))+EXP(-((B36-6.5)^2)/(2*(7.5^2))))</f>
        <v/>
      </c>
      <c r="H36" s="32">
        <f>16.58*(EXP(-((B36+6.5)^2)/(2*(7.5^2)))+EXP(-((B36-6.5)^2)/(2*(7.5^2))))</f>
        <v/>
      </c>
      <c r="I36" s="32">
        <f>24.87*(EXP(-((B36+6.5)^2)/(2*(7.5^2)))+EXP(-((B36-6.5)^2)/(2*(7.5^2))))</f>
        <v/>
      </c>
      <c r="J36" s="32">
        <f>33.16*(EXP(-((B36+6.5)^2)/(2*(7.5^2)))+EXP(-((B36-6.5)^2)/(2*(7.5^2))))</f>
        <v/>
      </c>
      <c r="K36" s="32">
        <f>(0.01*(3.15^2)*(4*(1-0.3)*15/(B36^2+225))*EXP(-1.38*(B36^2)/(18.15^2)))*1000</f>
        <v/>
      </c>
      <c r="L36" s="32">
        <f>ABS(H37-H35)/2</f>
        <v/>
      </c>
    </row>
    <row r="37">
      <c r="B37" s="11" t="n">
        <v>-19</v>
      </c>
      <c r="C37" s="33">
        <f>8.29*EXP(-(B37^2)/(2*(7.5^2)))</f>
        <v/>
      </c>
      <c r="D37" s="33">
        <f>16.58*EXP(-(B37^2)/(2*(7.5^2)))</f>
        <v/>
      </c>
      <c r="E37" s="33">
        <f>24.87*EXP(-(B37^2)/(2*(7.5^2)))</f>
        <v/>
      </c>
      <c r="F37" s="33">
        <f>33.16*EXP(-(B37^2)/(2*(7.5^2)))</f>
        <v/>
      </c>
      <c r="G37" s="33">
        <f>8.29*(EXP(-((B37+6.5)^2)/(2*(7.5^2)))+EXP(-((B37-6.5)^2)/(2*(7.5^2))))</f>
        <v/>
      </c>
      <c r="H37" s="33">
        <f>16.58*(EXP(-((B37+6.5)^2)/(2*(7.5^2)))+EXP(-((B37-6.5)^2)/(2*(7.5^2))))</f>
        <v/>
      </c>
      <c r="I37" s="33">
        <f>24.87*(EXP(-((B37+6.5)^2)/(2*(7.5^2)))+EXP(-((B37-6.5)^2)/(2*(7.5^2))))</f>
        <v/>
      </c>
      <c r="J37" s="33">
        <f>33.16*(EXP(-((B37+6.5)^2)/(2*(7.5^2)))+EXP(-((B37-6.5)^2)/(2*(7.5^2))))</f>
        <v/>
      </c>
      <c r="K37" s="33">
        <f>(0.01*(3.15^2)*(4*(1-0.3)*15/(B37^2+225))*EXP(-1.38*(B37^2)/(18.15^2)))*1000</f>
        <v/>
      </c>
      <c r="L37" s="33">
        <f>ABS(H38-H36)/2</f>
        <v/>
      </c>
    </row>
    <row r="38">
      <c r="B38" s="11" t="n">
        <v>-18</v>
      </c>
      <c r="C38" s="32">
        <f>8.29*EXP(-(B38^2)/(2*(7.5^2)))</f>
        <v/>
      </c>
      <c r="D38" s="32">
        <f>16.58*EXP(-(B38^2)/(2*(7.5^2)))</f>
        <v/>
      </c>
      <c r="E38" s="32">
        <f>24.87*EXP(-(B38^2)/(2*(7.5^2)))</f>
        <v/>
      </c>
      <c r="F38" s="32">
        <f>33.16*EXP(-(B38^2)/(2*(7.5^2)))</f>
        <v/>
      </c>
      <c r="G38" s="32">
        <f>8.29*(EXP(-((B38+6.5)^2)/(2*(7.5^2)))+EXP(-((B38-6.5)^2)/(2*(7.5^2))))</f>
        <v/>
      </c>
      <c r="H38" s="32">
        <f>16.58*(EXP(-((B38+6.5)^2)/(2*(7.5^2)))+EXP(-((B38-6.5)^2)/(2*(7.5^2))))</f>
        <v/>
      </c>
      <c r="I38" s="32">
        <f>24.87*(EXP(-((B38+6.5)^2)/(2*(7.5^2)))+EXP(-((B38-6.5)^2)/(2*(7.5^2))))</f>
        <v/>
      </c>
      <c r="J38" s="32">
        <f>33.16*(EXP(-((B38+6.5)^2)/(2*(7.5^2)))+EXP(-((B38-6.5)^2)/(2*(7.5^2))))</f>
        <v/>
      </c>
      <c r="K38" s="32">
        <f>(0.01*(3.15^2)*(4*(1-0.3)*15/(B38^2+225))*EXP(-1.38*(B38^2)/(18.15^2)))*1000</f>
        <v/>
      </c>
      <c r="L38" s="32">
        <f>ABS(H39-H37)/2</f>
        <v/>
      </c>
    </row>
    <row r="39">
      <c r="B39" s="11" t="n">
        <v>-17</v>
      </c>
      <c r="C39" s="33">
        <f>8.29*EXP(-(B39^2)/(2*(7.5^2)))</f>
        <v/>
      </c>
      <c r="D39" s="33">
        <f>16.58*EXP(-(B39^2)/(2*(7.5^2)))</f>
        <v/>
      </c>
      <c r="E39" s="33">
        <f>24.87*EXP(-(B39^2)/(2*(7.5^2)))</f>
        <v/>
      </c>
      <c r="F39" s="33">
        <f>33.16*EXP(-(B39^2)/(2*(7.5^2)))</f>
        <v/>
      </c>
      <c r="G39" s="33">
        <f>8.29*(EXP(-((B39+6.5)^2)/(2*(7.5^2)))+EXP(-((B39-6.5)^2)/(2*(7.5^2))))</f>
        <v/>
      </c>
      <c r="H39" s="33">
        <f>16.58*(EXP(-((B39+6.5)^2)/(2*(7.5^2)))+EXP(-((B39-6.5)^2)/(2*(7.5^2))))</f>
        <v/>
      </c>
      <c r="I39" s="33">
        <f>24.87*(EXP(-((B39+6.5)^2)/(2*(7.5^2)))+EXP(-((B39-6.5)^2)/(2*(7.5^2))))</f>
        <v/>
      </c>
      <c r="J39" s="33">
        <f>33.16*(EXP(-((B39+6.5)^2)/(2*(7.5^2)))+EXP(-((B39-6.5)^2)/(2*(7.5^2))))</f>
        <v/>
      </c>
      <c r="K39" s="33">
        <f>(0.01*(3.15^2)*(4*(1-0.3)*15/(B39^2+225))*EXP(-1.38*(B39^2)/(18.15^2)))*1000</f>
        <v/>
      </c>
      <c r="L39" s="33">
        <f>ABS(H40-H38)/2</f>
        <v/>
      </c>
    </row>
    <row r="40">
      <c r="B40" s="11" t="n">
        <v>-16</v>
      </c>
      <c r="C40" s="32">
        <f>8.29*EXP(-(B40^2)/(2*(7.5^2)))</f>
        <v/>
      </c>
      <c r="D40" s="32">
        <f>16.58*EXP(-(B40^2)/(2*(7.5^2)))</f>
        <v/>
      </c>
      <c r="E40" s="32">
        <f>24.87*EXP(-(B40^2)/(2*(7.5^2)))</f>
        <v/>
      </c>
      <c r="F40" s="32">
        <f>33.16*EXP(-(B40^2)/(2*(7.5^2)))</f>
        <v/>
      </c>
      <c r="G40" s="32">
        <f>8.29*(EXP(-((B40+6.5)^2)/(2*(7.5^2)))+EXP(-((B40-6.5)^2)/(2*(7.5^2))))</f>
        <v/>
      </c>
      <c r="H40" s="32">
        <f>16.58*(EXP(-((B40+6.5)^2)/(2*(7.5^2)))+EXP(-((B40-6.5)^2)/(2*(7.5^2))))</f>
        <v/>
      </c>
      <c r="I40" s="32">
        <f>24.87*(EXP(-((B40+6.5)^2)/(2*(7.5^2)))+EXP(-((B40-6.5)^2)/(2*(7.5^2))))</f>
        <v/>
      </c>
      <c r="J40" s="32">
        <f>33.16*(EXP(-((B40+6.5)^2)/(2*(7.5^2)))+EXP(-((B40-6.5)^2)/(2*(7.5^2))))</f>
        <v/>
      </c>
      <c r="K40" s="32">
        <f>(0.01*(3.15^2)*(4*(1-0.3)*15/(B40^2+225))*EXP(-1.38*(B40^2)/(18.15^2)))*1000</f>
        <v/>
      </c>
      <c r="L40" s="32">
        <f>ABS(H41-H39)/2</f>
        <v/>
      </c>
    </row>
    <row r="41">
      <c r="B41" s="11" t="n">
        <v>-15</v>
      </c>
      <c r="C41" s="33">
        <f>8.29*EXP(-(B41^2)/(2*(7.5^2)))</f>
        <v/>
      </c>
      <c r="D41" s="33">
        <f>16.58*EXP(-(B41^2)/(2*(7.5^2)))</f>
        <v/>
      </c>
      <c r="E41" s="33">
        <f>24.87*EXP(-(B41^2)/(2*(7.5^2)))</f>
        <v/>
      </c>
      <c r="F41" s="33">
        <f>33.16*EXP(-(B41^2)/(2*(7.5^2)))</f>
        <v/>
      </c>
      <c r="G41" s="33">
        <f>8.29*(EXP(-((B41+6.5)^2)/(2*(7.5^2)))+EXP(-((B41-6.5)^2)/(2*(7.5^2))))</f>
        <v/>
      </c>
      <c r="H41" s="33">
        <f>16.58*(EXP(-((B41+6.5)^2)/(2*(7.5^2)))+EXP(-((B41-6.5)^2)/(2*(7.5^2))))</f>
        <v/>
      </c>
      <c r="I41" s="33">
        <f>24.87*(EXP(-((B41+6.5)^2)/(2*(7.5^2)))+EXP(-((B41-6.5)^2)/(2*(7.5^2))))</f>
        <v/>
      </c>
      <c r="J41" s="33">
        <f>33.16*(EXP(-((B41+6.5)^2)/(2*(7.5^2)))+EXP(-((B41-6.5)^2)/(2*(7.5^2))))</f>
        <v/>
      </c>
      <c r="K41" s="33">
        <f>(0.01*(3.15^2)*(4*(1-0.3)*15/(B41^2+225))*EXP(-1.38*(B41^2)/(18.15^2)))*1000</f>
        <v/>
      </c>
      <c r="L41" s="33">
        <f>ABS(H42-H40)/2</f>
        <v/>
      </c>
    </row>
    <row r="42">
      <c r="B42" s="11" t="n">
        <v>-14</v>
      </c>
      <c r="C42" s="32">
        <f>8.29*EXP(-(B42^2)/(2*(7.5^2)))</f>
        <v/>
      </c>
      <c r="D42" s="32">
        <f>16.58*EXP(-(B42^2)/(2*(7.5^2)))</f>
        <v/>
      </c>
      <c r="E42" s="32">
        <f>24.87*EXP(-(B42^2)/(2*(7.5^2)))</f>
        <v/>
      </c>
      <c r="F42" s="32">
        <f>33.16*EXP(-(B42^2)/(2*(7.5^2)))</f>
        <v/>
      </c>
      <c r="G42" s="32">
        <f>8.29*(EXP(-((B42+6.5)^2)/(2*(7.5^2)))+EXP(-((B42-6.5)^2)/(2*(7.5^2))))</f>
        <v/>
      </c>
      <c r="H42" s="32">
        <f>16.58*(EXP(-((B42+6.5)^2)/(2*(7.5^2)))+EXP(-((B42-6.5)^2)/(2*(7.5^2))))</f>
        <v/>
      </c>
      <c r="I42" s="32">
        <f>24.87*(EXP(-((B42+6.5)^2)/(2*(7.5^2)))+EXP(-((B42-6.5)^2)/(2*(7.5^2))))</f>
        <v/>
      </c>
      <c r="J42" s="32">
        <f>33.16*(EXP(-((B42+6.5)^2)/(2*(7.5^2)))+EXP(-((B42-6.5)^2)/(2*(7.5^2))))</f>
        <v/>
      </c>
      <c r="K42" s="32">
        <f>(0.01*(3.15^2)*(4*(1-0.3)*15/(B42^2+225))*EXP(-1.38*(B42^2)/(18.15^2)))*1000</f>
        <v/>
      </c>
      <c r="L42" s="32">
        <f>ABS(H43-H41)/2</f>
        <v/>
      </c>
    </row>
    <row r="43">
      <c r="B43" s="11" t="n">
        <v>-13</v>
      </c>
      <c r="C43" s="33">
        <f>8.29*EXP(-(B43^2)/(2*(7.5^2)))</f>
        <v/>
      </c>
      <c r="D43" s="33">
        <f>16.58*EXP(-(B43^2)/(2*(7.5^2)))</f>
        <v/>
      </c>
      <c r="E43" s="33">
        <f>24.87*EXP(-(B43^2)/(2*(7.5^2)))</f>
        <v/>
      </c>
      <c r="F43" s="33">
        <f>33.16*EXP(-(B43^2)/(2*(7.5^2)))</f>
        <v/>
      </c>
      <c r="G43" s="33">
        <f>8.29*(EXP(-((B43+6.5)^2)/(2*(7.5^2)))+EXP(-((B43-6.5)^2)/(2*(7.5^2))))</f>
        <v/>
      </c>
      <c r="H43" s="33">
        <f>16.58*(EXP(-((B43+6.5)^2)/(2*(7.5^2)))+EXP(-((B43-6.5)^2)/(2*(7.5^2))))</f>
        <v/>
      </c>
      <c r="I43" s="33">
        <f>24.87*(EXP(-((B43+6.5)^2)/(2*(7.5^2)))+EXP(-((B43-6.5)^2)/(2*(7.5^2))))</f>
        <v/>
      </c>
      <c r="J43" s="33">
        <f>33.16*(EXP(-((B43+6.5)^2)/(2*(7.5^2)))+EXP(-((B43-6.5)^2)/(2*(7.5^2))))</f>
        <v/>
      </c>
      <c r="K43" s="33">
        <f>(0.01*(3.15^2)*(4*(1-0.3)*15/(B43^2+225))*EXP(-1.38*(B43^2)/(18.15^2)))*1000</f>
        <v/>
      </c>
      <c r="L43" s="33">
        <f>ABS(H44-H42)/2</f>
        <v/>
      </c>
    </row>
    <row r="44">
      <c r="B44" s="11" t="n">
        <v>-12</v>
      </c>
      <c r="C44" s="32">
        <f>8.29*EXP(-(B44^2)/(2*(7.5^2)))</f>
        <v/>
      </c>
      <c r="D44" s="32">
        <f>16.58*EXP(-(B44^2)/(2*(7.5^2)))</f>
        <v/>
      </c>
      <c r="E44" s="32">
        <f>24.87*EXP(-(B44^2)/(2*(7.5^2)))</f>
        <v/>
      </c>
      <c r="F44" s="32">
        <f>33.16*EXP(-(B44^2)/(2*(7.5^2)))</f>
        <v/>
      </c>
      <c r="G44" s="32">
        <f>8.29*(EXP(-((B44+6.5)^2)/(2*(7.5^2)))+EXP(-((B44-6.5)^2)/(2*(7.5^2))))</f>
        <v/>
      </c>
      <c r="H44" s="32">
        <f>16.58*(EXP(-((B44+6.5)^2)/(2*(7.5^2)))+EXP(-((B44-6.5)^2)/(2*(7.5^2))))</f>
        <v/>
      </c>
      <c r="I44" s="32">
        <f>24.87*(EXP(-((B44+6.5)^2)/(2*(7.5^2)))+EXP(-((B44-6.5)^2)/(2*(7.5^2))))</f>
        <v/>
      </c>
      <c r="J44" s="32">
        <f>33.16*(EXP(-((B44+6.5)^2)/(2*(7.5^2)))+EXP(-((B44-6.5)^2)/(2*(7.5^2))))</f>
        <v/>
      </c>
      <c r="K44" s="32">
        <f>(0.01*(3.15^2)*(4*(1-0.3)*15/(B44^2+225))*EXP(-1.38*(B44^2)/(18.15^2)))*1000</f>
        <v/>
      </c>
      <c r="L44" s="32">
        <f>ABS(H45-H43)/2</f>
        <v/>
      </c>
    </row>
    <row r="45">
      <c r="B45" s="11" t="n">
        <v>-11</v>
      </c>
      <c r="C45" s="33">
        <f>8.29*EXP(-(B45^2)/(2*(7.5^2)))</f>
        <v/>
      </c>
      <c r="D45" s="33">
        <f>16.58*EXP(-(B45^2)/(2*(7.5^2)))</f>
        <v/>
      </c>
      <c r="E45" s="33">
        <f>24.87*EXP(-(B45^2)/(2*(7.5^2)))</f>
        <v/>
      </c>
      <c r="F45" s="33">
        <f>33.16*EXP(-(B45^2)/(2*(7.5^2)))</f>
        <v/>
      </c>
      <c r="G45" s="33">
        <f>8.29*(EXP(-((B45+6.5)^2)/(2*(7.5^2)))+EXP(-((B45-6.5)^2)/(2*(7.5^2))))</f>
        <v/>
      </c>
      <c r="H45" s="33">
        <f>16.58*(EXP(-((B45+6.5)^2)/(2*(7.5^2)))+EXP(-((B45-6.5)^2)/(2*(7.5^2))))</f>
        <v/>
      </c>
      <c r="I45" s="33">
        <f>24.87*(EXP(-((B45+6.5)^2)/(2*(7.5^2)))+EXP(-((B45-6.5)^2)/(2*(7.5^2))))</f>
        <v/>
      </c>
      <c r="J45" s="33">
        <f>33.16*(EXP(-((B45+6.5)^2)/(2*(7.5^2)))+EXP(-((B45-6.5)^2)/(2*(7.5^2))))</f>
        <v/>
      </c>
      <c r="K45" s="33">
        <f>(0.01*(3.15^2)*(4*(1-0.3)*15/(B45^2+225))*EXP(-1.38*(B45^2)/(18.15^2)))*1000</f>
        <v/>
      </c>
      <c r="L45" s="33">
        <f>ABS(H46-H44)/2</f>
        <v/>
      </c>
    </row>
    <row r="46">
      <c r="B46" s="11" t="n">
        <v>-10</v>
      </c>
      <c r="C46" s="32">
        <f>8.29*EXP(-(B46^2)/(2*(7.5^2)))</f>
        <v/>
      </c>
      <c r="D46" s="32">
        <f>16.58*EXP(-(B46^2)/(2*(7.5^2)))</f>
        <v/>
      </c>
      <c r="E46" s="32">
        <f>24.87*EXP(-(B46^2)/(2*(7.5^2)))</f>
        <v/>
      </c>
      <c r="F46" s="32">
        <f>33.16*EXP(-(B46^2)/(2*(7.5^2)))</f>
        <v/>
      </c>
      <c r="G46" s="32">
        <f>8.29*(EXP(-((B46+6.5)^2)/(2*(7.5^2)))+EXP(-((B46-6.5)^2)/(2*(7.5^2))))</f>
        <v/>
      </c>
      <c r="H46" s="32">
        <f>16.58*(EXP(-((B46+6.5)^2)/(2*(7.5^2)))+EXP(-((B46-6.5)^2)/(2*(7.5^2))))</f>
        <v/>
      </c>
      <c r="I46" s="32">
        <f>24.87*(EXP(-((B46+6.5)^2)/(2*(7.5^2)))+EXP(-((B46-6.5)^2)/(2*(7.5^2))))</f>
        <v/>
      </c>
      <c r="J46" s="32">
        <f>33.16*(EXP(-((B46+6.5)^2)/(2*(7.5^2)))+EXP(-((B46-6.5)^2)/(2*(7.5^2))))</f>
        <v/>
      </c>
      <c r="K46" s="32">
        <f>(0.01*(3.15^2)*(4*(1-0.3)*15/(B46^2+225))*EXP(-1.38*(B46^2)/(18.15^2)))*1000</f>
        <v/>
      </c>
      <c r="L46" s="32">
        <f>ABS(H47-H45)/2</f>
        <v/>
      </c>
    </row>
    <row r="47">
      <c r="B47" s="11" t="n">
        <v>-9</v>
      </c>
      <c r="C47" s="33">
        <f>8.29*EXP(-(B47^2)/(2*(7.5^2)))</f>
        <v/>
      </c>
      <c r="D47" s="33">
        <f>16.58*EXP(-(B47^2)/(2*(7.5^2)))</f>
        <v/>
      </c>
      <c r="E47" s="33">
        <f>24.87*EXP(-(B47^2)/(2*(7.5^2)))</f>
        <v/>
      </c>
      <c r="F47" s="33">
        <f>33.16*EXP(-(B47^2)/(2*(7.5^2)))</f>
        <v/>
      </c>
      <c r="G47" s="33">
        <f>8.29*(EXP(-((B47+6.5)^2)/(2*(7.5^2)))+EXP(-((B47-6.5)^2)/(2*(7.5^2))))</f>
        <v/>
      </c>
      <c r="H47" s="33">
        <f>16.58*(EXP(-((B47+6.5)^2)/(2*(7.5^2)))+EXP(-((B47-6.5)^2)/(2*(7.5^2))))</f>
        <v/>
      </c>
      <c r="I47" s="33">
        <f>24.87*(EXP(-((B47+6.5)^2)/(2*(7.5^2)))+EXP(-((B47-6.5)^2)/(2*(7.5^2))))</f>
        <v/>
      </c>
      <c r="J47" s="33">
        <f>33.16*(EXP(-((B47+6.5)^2)/(2*(7.5^2)))+EXP(-((B47-6.5)^2)/(2*(7.5^2))))</f>
        <v/>
      </c>
      <c r="K47" s="33">
        <f>(0.01*(3.15^2)*(4*(1-0.3)*15/(B47^2+225))*EXP(-1.38*(B47^2)/(18.15^2)))*1000</f>
        <v/>
      </c>
      <c r="L47" s="33">
        <f>ABS(H48-H46)/2</f>
        <v/>
      </c>
    </row>
    <row r="48">
      <c r="B48" s="11" t="n">
        <v>-8</v>
      </c>
      <c r="C48" s="32">
        <f>8.29*EXP(-(B48^2)/(2*(7.5^2)))</f>
        <v/>
      </c>
      <c r="D48" s="32">
        <f>16.58*EXP(-(B48^2)/(2*(7.5^2)))</f>
        <v/>
      </c>
      <c r="E48" s="32">
        <f>24.87*EXP(-(B48^2)/(2*(7.5^2)))</f>
        <v/>
      </c>
      <c r="F48" s="32">
        <f>33.16*EXP(-(B48^2)/(2*(7.5^2)))</f>
        <v/>
      </c>
      <c r="G48" s="32">
        <f>8.29*(EXP(-((B48+6.5)^2)/(2*(7.5^2)))+EXP(-((B48-6.5)^2)/(2*(7.5^2))))</f>
        <v/>
      </c>
      <c r="H48" s="32">
        <f>16.58*(EXP(-((B48+6.5)^2)/(2*(7.5^2)))+EXP(-((B48-6.5)^2)/(2*(7.5^2))))</f>
        <v/>
      </c>
      <c r="I48" s="32">
        <f>24.87*(EXP(-((B48+6.5)^2)/(2*(7.5^2)))+EXP(-((B48-6.5)^2)/(2*(7.5^2))))</f>
        <v/>
      </c>
      <c r="J48" s="32">
        <f>33.16*(EXP(-((B48+6.5)^2)/(2*(7.5^2)))+EXP(-((B48-6.5)^2)/(2*(7.5^2))))</f>
        <v/>
      </c>
      <c r="K48" s="32">
        <f>(0.01*(3.15^2)*(4*(1-0.3)*15/(B48^2+225))*EXP(-1.38*(B48^2)/(18.15^2)))*1000</f>
        <v/>
      </c>
      <c r="L48" s="32">
        <f>ABS(H49-H47)/2</f>
        <v/>
      </c>
    </row>
    <row r="49">
      <c r="B49" s="11" t="n">
        <v>-7</v>
      </c>
      <c r="C49" s="33">
        <f>8.29*EXP(-(B49^2)/(2*(7.5^2)))</f>
        <v/>
      </c>
      <c r="D49" s="33">
        <f>16.58*EXP(-(B49^2)/(2*(7.5^2)))</f>
        <v/>
      </c>
      <c r="E49" s="33">
        <f>24.87*EXP(-(B49^2)/(2*(7.5^2)))</f>
        <v/>
      </c>
      <c r="F49" s="33">
        <f>33.16*EXP(-(B49^2)/(2*(7.5^2)))</f>
        <v/>
      </c>
      <c r="G49" s="33">
        <f>8.29*(EXP(-((B49+6.5)^2)/(2*(7.5^2)))+EXP(-((B49-6.5)^2)/(2*(7.5^2))))</f>
        <v/>
      </c>
      <c r="H49" s="33">
        <f>16.58*(EXP(-((B49+6.5)^2)/(2*(7.5^2)))+EXP(-((B49-6.5)^2)/(2*(7.5^2))))</f>
        <v/>
      </c>
      <c r="I49" s="33">
        <f>24.87*(EXP(-((B49+6.5)^2)/(2*(7.5^2)))+EXP(-((B49-6.5)^2)/(2*(7.5^2))))</f>
        <v/>
      </c>
      <c r="J49" s="33">
        <f>33.16*(EXP(-((B49+6.5)^2)/(2*(7.5^2)))+EXP(-((B49-6.5)^2)/(2*(7.5^2))))</f>
        <v/>
      </c>
      <c r="K49" s="33">
        <f>(0.01*(3.15^2)*(4*(1-0.3)*15/(B49^2+225))*EXP(-1.38*(B49^2)/(18.15^2)))*1000</f>
        <v/>
      </c>
      <c r="L49" s="33">
        <f>ABS(H50-H48)/2</f>
        <v/>
      </c>
    </row>
    <row r="50">
      <c r="B50" s="11" t="n">
        <v>-6</v>
      </c>
      <c r="C50" s="32">
        <f>8.29*EXP(-(B50^2)/(2*(7.5^2)))</f>
        <v/>
      </c>
      <c r="D50" s="32">
        <f>16.58*EXP(-(B50^2)/(2*(7.5^2)))</f>
        <v/>
      </c>
      <c r="E50" s="32">
        <f>24.87*EXP(-(B50^2)/(2*(7.5^2)))</f>
        <v/>
      </c>
      <c r="F50" s="32">
        <f>33.16*EXP(-(B50^2)/(2*(7.5^2)))</f>
        <v/>
      </c>
      <c r="G50" s="32">
        <f>8.29*(EXP(-((B50+6.5)^2)/(2*(7.5^2)))+EXP(-((B50-6.5)^2)/(2*(7.5^2))))</f>
        <v/>
      </c>
      <c r="H50" s="32">
        <f>16.58*(EXP(-((B50+6.5)^2)/(2*(7.5^2)))+EXP(-((B50-6.5)^2)/(2*(7.5^2))))</f>
        <v/>
      </c>
      <c r="I50" s="32">
        <f>24.87*(EXP(-((B50+6.5)^2)/(2*(7.5^2)))+EXP(-((B50-6.5)^2)/(2*(7.5^2))))</f>
        <v/>
      </c>
      <c r="J50" s="32">
        <f>33.16*(EXP(-((B50+6.5)^2)/(2*(7.5^2)))+EXP(-((B50-6.5)^2)/(2*(7.5^2))))</f>
        <v/>
      </c>
      <c r="K50" s="32">
        <f>(0.01*(3.15^2)*(4*(1-0.3)*15/(B50^2+225))*EXP(-1.38*(B50^2)/(18.15^2)))*1000</f>
        <v/>
      </c>
      <c r="L50" s="32">
        <f>ABS(H51-H49)/2</f>
        <v/>
      </c>
    </row>
    <row r="51">
      <c r="B51" s="11" t="n">
        <v>-5</v>
      </c>
      <c r="C51" s="33">
        <f>8.29*EXP(-(B51^2)/(2*(7.5^2)))</f>
        <v/>
      </c>
      <c r="D51" s="33">
        <f>16.58*EXP(-(B51^2)/(2*(7.5^2)))</f>
        <v/>
      </c>
      <c r="E51" s="33">
        <f>24.87*EXP(-(B51^2)/(2*(7.5^2)))</f>
        <v/>
      </c>
      <c r="F51" s="33">
        <f>33.16*EXP(-(B51^2)/(2*(7.5^2)))</f>
        <v/>
      </c>
      <c r="G51" s="33">
        <f>8.29*(EXP(-((B51+6.5)^2)/(2*(7.5^2)))+EXP(-((B51-6.5)^2)/(2*(7.5^2))))</f>
        <v/>
      </c>
      <c r="H51" s="33">
        <f>16.58*(EXP(-((B51+6.5)^2)/(2*(7.5^2)))+EXP(-((B51-6.5)^2)/(2*(7.5^2))))</f>
        <v/>
      </c>
      <c r="I51" s="33">
        <f>24.87*(EXP(-((B51+6.5)^2)/(2*(7.5^2)))+EXP(-((B51-6.5)^2)/(2*(7.5^2))))</f>
        <v/>
      </c>
      <c r="J51" s="33">
        <f>33.16*(EXP(-((B51+6.5)^2)/(2*(7.5^2)))+EXP(-((B51-6.5)^2)/(2*(7.5^2))))</f>
        <v/>
      </c>
      <c r="K51" s="33">
        <f>(0.01*(3.15^2)*(4*(1-0.3)*15/(B51^2+225))*EXP(-1.38*(B51^2)/(18.15^2)))*1000</f>
        <v/>
      </c>
      <c r="L51" s="33">
        <f>ABS(H52-H50)/2</f>
        <v/>
      </c>
    </row>
    <row r="52">
      <c r="B52" s="11" t="n">
        <v>-4</v>
      </c>
      <c r="C52" s="32">
        <f>8.29*EXP(-(B52^2)/(2*(7.5^2)))</f>
        <v/>
      </c>
      <c r="D52" s="32">
        <f>16.58*EXP(-(B52^2)/(2*(7.5^2)))</f>
        <v/>
      </c>
      <c r="E52" s="32">
        <f>24.87*EXP(-(B52^2)/(2*(7.5^2)))</f>
        <v/>
      </c>
      <c r="F52" s="32">
        <f>33.16*EXP(-(B52^2)/(2*(7.5^2)))</f>
        <v/>
      </c>
      <c r="G52" s="32">
        <f>8.29*(EXP(-((B52+6.5)^2)/(2*(7.5^2)))+EXP(-((B52-6.5)^2)/(2*(7.5^2))))</f>
        <v/>
      </c>
      <c r="H52" s="32">
        <f>16.58*(EXP(-((B52+6.5)^2)/(2*(7.5^2)))+EXP(-((B52-6.5)^2)/(2*(7.5^2))))</f>
        <v/>
      </c>
      <c r="I52" s="32">
        <f>24.87*(EXP(-((B52+6.5)^2)/(2*(7.5^2)))+EXP(-((B52-6.5)^2)/(2*(7.5^2))))</f>
        <v/>
      </c>
      <c r="J52" s="32">
        <f>33.16*(EXP(-((B52+6.5)^2)/(2*(7.5^2)))+EXP(-((B52-6.5)^2)/(2*(7.5^2))))</f>
        <v/>
      </c>
      <c r="K52" s="32">
        <f>(0.01*(3.15^2)*(4*(1-0.3)*15/(B52^2+225))*EXP(-1.38*(B52^2)/(18.15^2)))*1000</f>
        <v/>
      </c>
      <c r="L52" s="32">
        <f>ABS(H53-H51)/2</f>
        <v/>
      </c>
    </row>
    <row r="53">
      <c r="B53" s="11" t="n">
        <v>-3</v>
      </c>
      <c r="C53" s="33">
        <f>8.29*EXP(-(B53^2)/(2*(7.5^2)))</f>
        <v/>
      </c>
      <c r="D53" s="33">
        <f>16.58*EXP(-(B53^2)/(2*(7.5^2)))</f>
        <v/>
      </c>
      <c r="E53" s="33">
        <f>24.87*EXP(-(B53^2)/(2*(7.5^2)))</f>
        <v/>
      </c>
      <c r="F53" s="33">
        <f>33.16*EXP(-(B53^2)/(2*(7.5^2)))</f>
        <v/>
      </c>
      <c r="G53" s="33">
        <f>8.29*(EXP(-((B53+6.5)^2)/(2*(7.5^2)))+EXP(-((B53-6.5)^2)/(2*(7.5^2))))</f>
        <v/>
      </c>
      <c r="H53" s="33">
        <f>16.58*(EXP(-((B53+6.5)^2)/(2*(7.5^2)))+EXP(-((B53-6.5)^2)/(2*(7.5^2))))</f>
        <v/>
      </c>
      <c r="I53" s="33">
        <f>24.87*(EXP(-((B53+6.5)^2)/(2*(7.5^2)))+EXP(-((B53-6.5)^2)/(2*(7.5^2))))</f>
        <v/>
      </c>
      <c r="J53" s="33">
        <f>33.16*(EXP(-((B53+6.5)^2)/(2*(7.5^2)))+EXP(-((B53-6.5)^2)/(2*(7.5^2))))</f>
        <v/>
      </c>
      <c r="K53" s="33">
        <f>(0.01*(3.15^2)*(4*(1-0.3)*15/(B53^2+225))*EXP(-1.38*(B53^2)/(18.15^2)))*1000</f>
        <v/>
      </c>
      <c r="L53" s="33">
        <f>ABS(H54-H52)/2</f>
        <v/>
      </c>
    </row>
    <row r="54">
      <c r="B54" s="11" t="n">
        <v>-2</v>
      </c>
      <c r="C54" s="32">
        <f>8.29*EXP(-(B54^2)/(2*(7.5^2)))</f>
        <v/>
      </c>
      <c r="D54" s="32">
        <f>16.58*EXP(-(B54^2)/(2*(7.5^2)))</f>
        <v/>
      </c>
      <c r="E54" s="32">
        <f>24.87*EXP(-(B54^2)/(2*(7.5^2)))</f>
        <v/>
      </c>
      <c r="F54" s="32">
        <f>33.16*EXP(-(B54^2)/(2*(7.5^2)))</f>
        <v/>
      </c>
      <c r="G54" s="32">
        <f>8.29*(EXP(-((B54+6.5)^2)/(2*(7.5^2)))+EXP(-((B54-6.5)^2)/(2*(7.5^2))))</f>
        <v/>
      </c>
      <c r="H54" s="32">
        <f>16.58*(EXP(-((B54+6.5)^2)/(2*(7.5^2)))+EXP(-((B54-6.5)^2)/(2*(7.5^2))))</f>
        <v/>
      </c>
      <c r="I54" s="32">
        <f>24.87*(EXP(-((B54+6.5)^2)/(2*(7.5^2)))+EXP(-((B54-6.5)^2)/(2*(7.5^2))))</f>
        <v/>
      </c>
      <c r="J54" s="32">
        <f>33.16*(EXP(-((B54+6.5)^2)/(2*(7.5^2)))+EXP(-((B54-6.5)^2)/(2*(7.5^2))))</f>
        <v/>
      </c>
      <c r="K54" s="32">
        <f>(0.01*(3.15^2)*(4*(1-0.3)*15/(B54^2+225))*EXP(-1.38*(B54^2)/(18.15^2)))*1000</f>
        <v/>
      </c>
      <c r="L54" s="32">
        <f>ABS(H55-H53)/2</f>
        <v/>
      </c>
    </row>
    <row r="55">
      <c r="B55" s="11" t="n">
        <v>-1</v>
      </c>
      <c r="C55" s="33">
        <f>8.29*EXP(-(B55^2)/(2*(7.5^2)))</f>
        <v/>
      </c>
      <c r="D55" s="33">
        <f>16.58*EXP(-(B55^2)/(2*(7.5^2)))</f>
        <v/>
      </c>
      <c r="E55" s="33">
        <f>24.87*EXP(-(B55^2)/(2*(7.5^2)))</f>
        <v/>
      </c>
      <c r="F55" s="33">
        <f>33.16*EXP(-(B55^2)/(2*(7.5^2)))</f>
        <v/>
      </c>
      <c r="G55" s="33">
        <f>8.29*(EXP(-((B55+6.5)^2)/(2*(7.5^2)))+EXP(-((B55-6.5)^2)/(2*(7.5^2))))</f>
        <v/>
      </c>
      <c r="H55" s="33">
        <f>16.58*(EXP(-((B55+6.5)^2)/(2*(7.5^2)))+EXP(-((B55-6.5)^2)/(2*(7.5^2))))</f>
        <v/>
      </c>
      <c r="I55" s="33">
        <f>24.87*(EXP(-((B55+6.5)^2)/(2*(7.5^2)))+EXP(-((B55-6.5)^2)/(2*(7.5^2))))</f>
        <v/>
      </c>
      <c r="J55" s="33">
        <f>33.16*(EXP(-((B55+6.5)^2)/(2*(7.5^2)))+EXP(-((B55-6.5)^2)/(2*(7.5^2))))</f>
        <v/>
      </c>
      <c r="K55" s="33">
        <f>(0.01*(3.15^2)*(4*(1-0.3)*15/(B55^2+225))*EXP(-1.38*(B55^2)/(18.15^2)))*1000</f>
        <v/>
      </c>
      <c r="L55" s="33">
        <f>ABS(H56-H54)/2</f>
        <v/>
      </c>
    </row>
    <row r="56">
      <c r="B56" s="11" t="n">
        <v>0</v>
      </c>
      <c r="C56" s="32">
        <f>8.29*EXP(-(B56^2)/(2*(7.5^2)))</f>
        <v/>
      </c>
      <c r="D56" s="32">
        <f>16.58*EXP(-(B56^2)/(2*(7.5^2)))</f>
        <v/>
      </c>
      <c r="E56" s="32">
        <f>24.87*EXP(-(B56^2)/(2*(7.5^2)))</f>
        <v/>
      </c>
      <c r="F56" s="32">
        <f>33.16*EXP(-(B56^2)/(2*(7.5^2)))</f>
        <v/>
      </c>
      <c r="G56" s="32">
        <f>8.29*(EXP(-((B56+6.5)^2)/(2*(7.5^2)))+EXP(-((B56-6.5)^2)/(2*(7.5^2))))</f>
        <v/>
      </c>
      <c r="H56" s="32">
        <f>16.58*(EXP(-((B56+6.5)^2)/(2*(7.5^2)))+EXP(-((B56-6.5)^2)/(2*(7.5^2))))</f>
        <v/>
      </c>
      <c r="I56" s="32">
        <f>24.87*(EXP(-((B56+6.5)^2)/(2*(7.5^2)))+EXP(-((B56-6.5)^2)/(2*(7.5^2))))</f>
        <v/>
      </c>
      <c r="J56" s="32">
        <f>33.16*(EXP(-((B56+6.5)^2)/(2*(7.5^2)))+EXP(-((B56-6.5)^2)/(2*(7.5^2))))</f>
        <v/>
      </c>
      <c r="K56" s="32">
        <f>(0.01*(3.15^2)*(4*(1-0.3)*15/(B56^2+225))*EXP(-1.38*(B56^2)/(18.15^2)))*1000</f>
        <v/>
      </c>
      <c r="L56" s="32">
        <f>ABS(H57-H55)/2</f>
        <v/>
      </c>
    </row>
    <row r="57">
      <c r="B57" s="11" t="n">
        <v>1</v>
      </c>
      <c r="C57" s="33">
        <f>8.29*EXP(-(B57^2)/(2*(7.5^2)))</f>
        <v/>
      </c>
      <c r="D57" s="33">
        <f>16.58*EXP(-(B57^2)/(2*(7.5^2)))</f>
        <v/>
      </c>
      <c r="E57" s="33">
        <f>24.87*EXP(-(B57^2)/(2*(7.5^2)))</f>
        <v/>
      </c>
      <c r="F57" s="33">
        <f>33.16*EXP(-(B57^2)/(2*(7.5^2)))</f>
        <v/>
      </c>
      <c r="G57" s="33">
        <f>8.29*(EXP(-((B57+6.5)^2)/(2*(7.5^2)))+EXP(-((B57-6.5)^2)/(2*(7.5^2))))</f>
        <v/>
      </c>
      <c r="H57" s="33">
        <f>16.58*(EXP(-((B57+6.5)^2)/(2*(7.5^2)))+EXP(-((B57-6.5)^2)/(2*(7.5^2))))</f>
        <v/>
      </c>
      <c r="I57" s="33">
        <f>24.87*(EXP(-((B57+6.5)^2)/(2*(7.5^2)))+EXP(-((B57-6.5)^2)/(2*(7.5^2))))</f>
        <v/>
      </c>
      <c r="J57" s="33">
        <f>33.16*(EXP(-((B57+6.5)^2)/(2*(7.5^2)))+EXP(-((B57-6.5)^2)/(2*(7.5^2))))</f>
        <v/>
      </c>
      <c r="K57" s="33">
        <f>(0.01*(3.15^2)*(4*(1-0.3)*15/(B57^2+225))*EXP(-1.38*(B57^2)/(18.15^2)))*1000</f>
        <v/>
      </c>
      <c r="L57" s="33">
        <f>ABS(H58-H56)/2</f>
        <v/>
      </c>
    </row>
    <row r="58">
      <c r="B58" s="11" t="n">
        <v>2</v>
      </c>
      <c r="C58" s="32">
        <f>8.29*EXP(-(B58^2)/(2*(7.5^2)))</f>
        <v/>
      </c>
      <c r="D58" s="32">
        <f>16.58*EXP(-(B58^2)/(2*(7.5^2)))</f>
        <v/>
      </c>
      <c r="E58" s="32">
        <f>24.87*EXP(-(B58^2)/(2*(7.5^2)))</f>
        <v/>
      </c>
      <c r="F58" s="32">
        <f>33.16*EXP(-(B58^2)/(2*(7.5^2)))</f>
        <v/>
      </c>
      <c r="G58" s="32">
        <f>8.29*(EXP(-((B58+6.5)^2)/(2*(7.5^2)))+EXP(-((B58-6.5)^2)/(2*(7.5^2))))</f>
        <v/>
      </c>
      <c r="H58" s="32">
        <f>16.58*(EXP(-((B58+6.5)^2)/(2*(7.5^2)))+EXP(-((B58-6.5)^2)/(2*(7.5^2))))</f>
        <v/>
      </c>
      <c r="I58" s="32">
        <f>24.87*(EXP(-((B58+6.5)^2)/(2*(7.5^2)))+EXP(-((B58-6.5)^2)/(2*(7.5^2))))</f>
        <v/>
      </c>
      <c r="J58" s="32">
        <f>33.16*(EXP(-((B58+6.5)^2)/(2*(7.5^2)))+EXP(-((B58-6.5)^2)/(2*(7.5^2))))</f>
        <v/>
      </c>
      <c r="K58" s="32">
        <f>(0.01*(3.15^2)*(4*(1-0.3)*15/(B58^2+225))*EXP(-1.38*(B58^2)/(18.15^2)))*1000</f>
        <v/>
      </c>
      <c r="L58" s="32">
        <f>ABS(H59-H57)/2</f>
        <v/>
      </c>
    </row>
    <row r="59">
      <c r="B59" s="11" t="n">
        <v>3</v>
      </c>
      <c r="C59" s="33">
        <f>8.29*EXP(-(B59^2)/(2*(7.5^2)))</f>
        <v/>
      </c>
      <c r="D59" s="33">
        <f>16.58*EXP(-(B59^2)/(2*(7.5^2)))</f>
        <v/>
      </c>
      <c r="E59" s="33">
        <f>24.87*EXP(-(B59^2)/(2*(7.5^2)))</f>
        <v/>
      </c>
      <c r="F59" s="33">
        <f>33.16*EXP(-(B59^2)/(2*(7.5^2)))</f>
        <v/>
      </c>
      <c r="G59" s="33">
        <f>8.29*(EXP(-((B59+6.5)^2)/(2*(7.5^2)))+EXP(-((B59-6.5)^2)/(2*(7.5^2))))</f>
        <v/>
      </c>
      <c r="H59" s="33">
        <f>16.58*(EXP(-((B59+6.5)^2)/(2*(7.5^2)))+EXP(-((B59-6.5)^2)/(2*(7.5^2))))</f>
        <v/>
      </c>
      <c r="I59" s="33">
        <f>24.87*(EXP(-((B59+6.5)^2)/(2*(7.5^2)))+EXP(-((B59-6.5)^2)/(2*(7.5^2))))</f>
        <v/>
      </c>
      <c r="J59" s="33">
        <f>33.16*(EXP(-((B59+6.5)^2)/(2*(7.5^2)))+EXP(-((B59-6.5)^2)/(2*(7.5^2))))</f>
        <v/>
      </c>
      <c r="K59" s="33">
        <f>(0.01*(3.15^2)*(4*(1-0.3)*15/(B59^2+225))*EXP(-1.38*(B59^2)/(18.15^2)))*1000</f>
        <v/>
      </c>
      <c r="L59" s="33">
        <f>ABS(H60-H58)/2</f>
        <v/>
      </c>
    </row>
    <row r="60">
      <c r="B60" s="11" t="n">
        <v>4</v>
      </c>
      <c r="C60" s="32">
        <f>8.29*EXP(-(B60^2)/(2*(7.5^2)))</f>
        <v/>
      </c>
      <c r="D60" s="32">
        <f>16.58*EXP(-(B60^2)/(2*(7.5^2)))</f>
        <v/>
      </c>
      <c r="E60" s="32">
        <f>24.87*EXP(-(B60^2)/(2*(7.5^2)))</f>
        <v/>
      </c>
      <c r="F60" s="32">
        <f>33.16*EXP(-(B60^2)/(2*(7.5^2)))</f>
        <v/>
      </c>
      <c r="G60" s="32">
        <f>8.29*(EXP(-((B60+6.5)^2)/(2*(7.5^2)))+EXP(-((B60-6.5)^2)/(2*(7.5^2))))</f>
        <v/>
      </c>
      <c r="H60" s="32">
        <f>16.58*(EXP(-((B60+6.5)^2)/(2*(7.5^2)))+EXP(-((B60-6.5)^2)/(2*(7.5^2))))</f>
        <v/>
      </c>
      <c r="I60" s="32">
        <f>24.87*(EXP(-((B60+6.5)^2)/(2*(7.5^2)))+EXP(-((B60-6.5)^2)/(2*(7.5^2))))</f>
        <v/>
      </c>
      <c r="J60" s="32">
        <f>33.16*(EXP(-((B60+6.5)^2)/(2*(7.5^2)))+EXP(-((B60-6.5)^2)/(2*(7.5^2))))</f>
        <v/>
      </c>
      <c r="K60" s="32">
        <f>(0.01*(3.15^2)*(4*(1-0.3)*15/(B60^2+225))*EXP(-1.38*(B60^2)/(18.15^2)))*1000</f>
        <v/>
      </c>
      <c r="L60" s="32">
        <f>ABS(H61-H59)/2</f>
        <v/>
      </c>
    </row>
    <row r="61">
      <c r="B61" s="11" t="n">
        <v>5</v>
      </c>
      <c r="C61" s="33">
        <f>8.29*EXP(-(B61^2)/(2*(7.5^2)))</f>
        <v/>
      </c>
      <c r="D61" s="33">
        <f>16.58*EXP(-(B61^2)/(2*(7.5^2)))</f>
        <v/>
      </c>
      <c r="E61" s="33">
        <f>24.87*EXP(-(B61^2)/(2*(7.5^2)))</f>
        <v/>
      </c>
      <c r="F61" s="33">
        <f>33.16*EXP(-(B61^2)/(2*(7.5^2)))</f>
        <v/>
      </c>
      <c r="G61" s="33">
        <f>8.29*(EXP(-((B61+6.5)^2)/(2*(7.5^2)))+EXP(-((B61-6.5)^2)/(2*(7.5^2))))</f>
        <v/>
      </c>
      <c r="H61" s="33">
        <f>16.58*(EXP(-((B61+6.5)^2)/(2*(7.5^2)))+EXP(-((B61-6.5)^2)/(2*(7.5^2))))</f>
        <v/>
      </c>
      <c r="I61" s="33">
        <f>24.87*(EXP(-((B61+6.5)^2)/(2*(7.5^2)))+EXP(-((B61-6.5)^2)/(2*(7.5^2))))</f>
        <v/>
      </c>
      <c r="J61" s="33">
        <f>33.16*(EXP(-((B61+6.5)^2)/(2*(7.5^2)))+EXP(-((B61-6.5)^2)/(2*(7.5^2))))</f>
        <v/>
      </c>
      <c r="K61" s="33">
        <f>(0.01*(3.15^2)*(4*(1-0.3)*15/(B61^2+225))*EXP(-1.38*(B61^2)/(18.15^2)))*1000</f>
        <v/>
      </c>
      <c r="L61" s="33">
        <f>ABS(H62-H60)/2</f>
        <v/>
      </c>
    </row>
    <row r="62">
      <c r="B62" s="11" t="n">
        <v>6</v>
      </c>
      <c r="C62" s="32">
        <f>8.29*EXP(-(B62^2)/(2*(7.5^2)))</f>
        <v/>
      </c>
      <c r="D62" s="32">
        <f>16.58*EXP(-(B62^2)/(2*(7.5^2)))</f>
        <v/>
      </c>
      <c r="E62" s="32">
        <f>24.87*EXP(-(B62^2)/(2*(7.5^2)))</f>
        <v/>
      </c>
      <c r="F62" s="32">
        <f>33.16*EXP(-(B62^2)/(2*(7.5^2)))</f>
        <v/>
      </c>
      <c r="G62" s="32">
        <f>8.29*(EXP(-((B62+6.5)^2)/(2*(7.5^2)))+EXP(-((B62-6.5)^2)/(2*(7.5^2))))</f>
        <v/>
      </c>
      <c r="H62" s="32">
        <f>16.58*(EXP(-((B62+6.5)^2)/(2*(7.5^2)))+EXP(-((B62-6.5)^2)/(2*(7.5^2))))</f>
        <v/>
      </c>
      <c r="I62" s="32">
        <f>24.87*(EXP(-((B62+6.5)^2)/(2*(7.5^2)))+EXP(-((B62-6.5)^2)/(2*(7.5^2))))</f>
        <v/>
      </c>
      <c r="J62" s="32">
        <f>33.16*(EXP(-((B62+6.5)^2)/(2*(7.5^2)))+EXP(-((B62-6.5)^2)/(2*(7.5^2))))</f>
        <v/>
      </c>
      <c r="K62" s="32">
        <f>(0.01*(3.15^2)*(4*(1-0.3)*15/(B62^2+225))*EXP(-1.38*(B62^2)/(18.15^2)))*1000</f>
        <v/>
      </c>
      <c r="L62" s="32">
        <f>ABS(H63-H61)/2</f>
        <v/>
      </c>
    </row>
    <row r="63">
      <c r="B63" s="11" t="n">
        <v>7</v>
      </c>
      <c r="C63" s="33">
        <f>8.29*EXP(-(B63^2)/(2*(7.5^2)))</f>
        <v/>
      </c>
      <c r="D63" s="33">
        <f>16.58*EXP(-(B63^2)/(2*(7.5^2)))</f>
        <v/>
      </c>
      <c r="E63" s="33">
        <f>24.87*EXP(-(B63^2)/(2*(7.5^2)))</f>
        <v/>
      </c>
      <c r="F63" s="33">
        <f>33.16*EXP(-(B63^2)/(2*(7.5^2)))</f>
        <v/>
      </c>
      <c r="G63" s="33">
        <f>8.29*(EXP(-((B63+6.5)^2)/(2*(7.5^2)))+EXP(-((B63-6.5)^2)/(2*(7.5^2))))</f>
        <v/>
      </c>
      <c r="H63" s="33">
        <f>16.58*(EXP(-((B63+6.5)^2)/(2*(7.5^2)))+EXP(-((B63-6.5)^2)/(2*(7.5^2))))</f>
        <v/>
      </c>
      <c r="I63" s="33">
        <f>24.87*(EXP(-((B63+6.5)^2)/(2*(7.5^2)))+EXP(-((B63-6.5)^2)/(2*(7.5^2))))</f>
        <v/>
      </c>
      <c r="J63" s="33">
        <f>33.16*(EXP(-((B63+6.5)^2)/(2*(7.5^2)))+EXP(-((B63-6.5)^2)/(2*(7.5^2))))</f>
        <v/>
      </c>
      <c r="K63" s="33">
        <f>(0.01*(3.15^2)*(4*(1-0.3)*15/(B63^2+225))*EXP(-1.38*(B63^2)/(18.15^2)))*1000</f>
        <v/>
      </c>
      <c r="L63" s="33">
        <f>ABS(H64-H62)/2</f>
        <v/>
      </c>
    </row>
    <row r="64">
      <c r="B64" s="11" t="n">
        <v>8</v>
      </c>
      <c r="C64" s="32">
        <f>8.29*EXP(-(B64^2)/(2*(7.5^2)))</f>
        <v/>
      </c>
      <c r="D64" s="32">
        <f>16.58*EXP(-(B64^2)/(2*(7.5^2)))</f>
        <v/>
      </c>
      <c r="E64" s="32">
        <f>24.87*EXP(-(B64^2)/(2*(7.5^2)))</f>
        <v/>
      </c>
      <c r="F64" s="32">
        <f>33.16*EXP(-(B64^2)/(2*(7.5^2)))</f>
        <v/>
      </c>
      <c r="G64" s="32">
        <f>8.29*(EXP(-((B64+6.5)^2)/(2*(7.5^2)))+EXP(-((B64-6.5)^2)/(2*(7.5^2))))</f>
        <v/>
      </c>
      <c r="H64" s="32">
        <f>16.58*(EXP(-((B64+6.5)^2)/(2*(7.5^2)))+EXP(-((B64-6.5)^2)/(2*(7.5^2))))</f>
        <v/>
      </c>
      <c r="I64" s="32">
        <f>24.87*(EXP(-((B64+6.5)^2)/(2*(7.5^2)))+EXP(-((B64-6.5)^2)/(2*(7.5^2))))</f>
        <v/>
      </c>
      <c r="J64" s="32">
        <f>33.16*(EXP(-((B64+6.5)^2)/(2*(7.5^2)))+EXP(-((B64-6.5)^2)/(2*(7.5^2))))</f>
        <v/>
      </c>
      <c r="K64" s="32">
        <f>(0.01*(3.15^2)*(4*(1-0.3)*15/(B64^2+225))*EXP(-1.38*(B64^2)/(18.15^2)))*1000</f>
        <v/>
      </c>
      <c r="L64" s="32">
        <f>ABS(H65-H63)/2</f>
        <v/>
      </c>
    </row>
    <row r="65">
      <c r="B65" s="11" t="n">
        <v>9</v>
      </c>
      <c r="C65" s="33">
        <f>8.29*EXP(-(B65^2)/(2*(7.5^2)))</f>
        <v/>
      </c>
      <c r="D65" s="33">
        <f>16.58*EXP(-(B65^2)/(2*(7.5^2)))</f>
        <v/>
      </c>
      <c r="E65" s="33">
        <f>24.87*EXP(-(B65^2)/(2*(7.5^2)))</f>
        <v/>
      </c>
      <c r="F65" s="33">
        <f>33.16*EXP(-(B65^2)/(2*(7.5^2)))</f>
        <v/>
      </c>
      <c r="G65" s="33">
        <f>8.29*(EXP(-((B65+6.5)^2)/(2*(7.5^2)))+EXP(-((B65-6.5)^2)/(2*(7.5^2))))</f>
        <v/>
      </c>
      <c r="H65" s="33">
        <f>16.58*(EXP(-((B65+6.5)^2)/(2*(7.5^2)))+EXP(-((B65-6.5)^2)/(2*(7.5^2))))</f>
        <v/>
      </c>
      <c r="I65" s="33">
        <f>24.87*(EXP(-((B65+6.5)^2)/(2*(7.5^2)))+EXP(-((B65-6.5)^2)/(2*(7.5^2))))</f>
        <v/>
      </c>
      <c r="J65" s="33">
        <f>33.16*(EXP(-((B65+6.5)^2)/(2*(7.5^2)))+EXP(-((B65-6.5)^2)/(2*(7.5^2))))</f>
        <v/>
      </c>
      <c r="K65" s="33">
        <f>(0.01*(3.15^2)*(4*(1-0.3)*15/(B65^2+225))*EXP(-1.38*(B65^2)/(18.15^2)))*1000</f>
        <v/>
      </c>
      <c r="L65" s="33">
        <f>ABS(H66-H64)/2</f>
        <v/>
      </c>
    </row>
    <row r="66">
      <c r="B66" s="11" t="n">
        <v>10</v>
      </c>
      <c r="C66" s="32">
        <f>8.29*EXP(-(B66^2)/(2*(7.5^2)))</f>
        <v/>
      </c>
      <c r="D66" s="32">
        <f>16.58*EXP(-(B66^2)/(2*(7.5^2)))</f>
        <v/>
      </c>
      <c r="E66" s="32">
        <f>24.87*EXP(-(B66^2)/(2*(7.5^2)))</f>
        <v/>
      </c>
      <c r="F66" s="32">
        <f>33.16*EXP(-(B66^2)/(2*(7.5^2)))</f>
        <v/>
      </c>
      <c r="G66" s="32">
        <f>8.29*(EXP(-((B66+6.5)^2)/(2*(7.5^2)))+EXP(-((B66-6.5)^2)/(2*(7.5^2))))</f>
        <v/>
      </c>
      <c r="H66" s="32">
        <f>16.58*(EXP(-((B66+6.5)^2)/(2*(7.5^2)))+EXP(-((B66-6.5)^2)/(2*(7.5^2))))</f>
        <v/>
      </c>
      <c r="I66" s="32">
        <f>24.87*(EXP(-((B66+6.5)^2)/(2*(7.5^2)))+EXP(-((B66-6.5)^2)/(2*(7.5^2))))</f>
        <v/>
      </c>
      <c r="J66" s="32">
        <f>33.16*(EXP(-((B66+6.5)^2)/(2*(7.5^2)))+EXP(-((B66-6.5)^2)/(2*(7.5^2))))</f>
        <v/>
      </c>
      <c r="K66" s="32">
        <f>(0.01*(3.15^2)*(4*(1-0.3)*15/(B66^2+225))*EXP(-1.38*(B66^2)/(18.15^2)))*1000</f>
        <v/>
      </c>
      <c r="L66" s="32">
        <f>ABS(H67-H65)/2</f>
        <v/>
      </c>
    </row>
    <row r="67">
      <c r="B67" s="11" t="n">
        <v>11</v>
      </c>
      <c r="C67" s="33">
        <f>8.29*EXP(-(B67^2)/(2*(7.5^2)))</f>
        <v/>
      </c>
      <c r="D67" s="33">
        <f>16.58*EXP(-(B67^2)/(2*(7.5^2)))</f>
        <v/>
      </c>
      <c r="E67" s="33">
        <f>24.87*EXP(-(B67^2)/(2*(7.5^2)))</f>
        <v/>
      </c>
      <c r="F67" s="33">
        <f>33.16*EXP(-(B67^2)/(2*(7.5^2)))</f>
        <v/>
      </c>
      <c r="G67" s="33">
        <f>8.29*(EXP(-((B67+6.5)^2)/(2*(7.5^2)))+EXP(-((B67-6.5)^2)/(2*(7.5^2))))</f>
        <v/>
      </c>
      <c r="H67" s="33">
        <f>16.58*(EXP(-((B67+6.5)^2)/(2*(7.5^2)))+EXP(-((B67-6.5)^2)/(2*(7.5^2))))</f>
        <v/>
      </c>
      <c r="I67" s="33">
        <f>24.87*(EXP(-((B67+6.5)^2)/(2*(7.5^2)))+EXP(-((B67-6.5)^2)/(2*(7.5^2))))</f>
        <v/>
      </c>
      <c r="J67" s="33">
        <f>33.16*(EXP(-((B67+6.5)^2)/(2*(7.5^2)))+EXP(-((B67-6.5)^2)/(2*(7.5^2))))</f>
        <v/>
      </c>
      <c r="K67" s="33">
        <f>(0.01*(3.15^2)*(4*(1-0.3)*15/(B67^2+225))*EXP(-1.38*(B67^2)/(18.15^2)))*1000</f>
        <v/>
      </c>
      <c r="L67" s="33">
        <f>ABS(H68-H66)/2</f>
        <v/>
      </c>
    </row>
    <row r="68">
      <c r="B68" s="11" t="n">
        <v>12</v>
      </c>
      <c r="C68" s="32">
        <f>8.29*EXP(-(B68^2)/(2*(7.5^2)))</f>
        <v/>
      </c>
      <c r="D68" s="32">
        <f>16.58*EXP(-(B68^2)/(2*(7.5^2)))</f>
        <v/>
      </c>
      <c r="E68" s="32">
        <f>24.87*EXP(-(B68^2)/(2*(7.5^2)))</f>
        <v/>
      </c>
      <c r="F68" s="32">
        <f>33.16*EXP(-(B68^2)/(2*(7.5^2)))</f>
        <v/>
      </c>
      <c r="G68" s="32">
        <f>8.29*(EXP(-((B68+6.5)^2)/(2*(7.5^2)))+EXP(-((B68-6.5)^2)/(2*(7.5^2))))</f>
        <v/>
      </c>
      <c r="H68" s="32">
        <f>16.58*(EXP(-((B68+6.5)^2)/(2*(7.5^2)))+EXP(-((B68-6.5)^2)/(2*(7.5^2))))</f>
        <v/>
      </c>
      <c r="I68" s="32">
        <f>24.87*(EXP(-((B68+6.5)^2)/(2*(7.5^2)))+EXP(-((B68-6.5)^2)/(2*(7.5^2))))</f>
        <v/>
      </c>
      <c r="J68" s="32">
        <f>33.16*(EXP(-((B68+6.5)^2)/(2*(7.5^2)))+EXP(-((B68-6.5)^2)/(2*(7.5^2))))</f>
        <v/>
      </c>
      <c r="K68" s="32">
        <f>(0.01*(3.15^2)*(4*(1-0.3)*15/(B68^2+225))*EXP(-1.38*(B68^2)/(18.15^2)))*1000</f>
        <v/>
      </c>
      <c r="L68" s="32">
        <f>ABS(H69-H67)/2</f>
        <v/>
      </c>
    </row>
    <row r="69">
      <c r="B69" s="11" t="n">
        <v>13</v>
      </c>
      <c r="C69" s="33">
        <f>8.29*EXP(-(B69^2)/(2*(7.5^2)))</f>
        <v/>
      </c>
      <c r="D69" s="33">
        <f>16.58*EXP(-(B69^2)/(2*(7.5^2)))</f>
        <v/>
      </c>
      <c r="E69" s="33">
        <f>24.87*EXP(-(B69^2)/(2*(7.5^2)))</f>
        <v/>
      </c>
      <c r="F69" s="33">
        <f>33.16*EXP(-(B69^2)/(2*(7.5^2)))</f>
        <v/>
      </c>
      <c r="G69" s="33">
        <f>8.29*(EXP(-((B69+6.5)^2)/(2*(7.5^2)))+EXP(-((B69-6.5)^2)/(2*(7.5^2))))</f>
        <v/>
      </c>
      <c r="H69" s="33">
        <f>16.58*(EXP(-((B69+6.5)^2)/(2*(7.5^2)))+EXP(-((B69-6.5)^2)/(2*(7.5^2))))</f>
        <v/>
      </c>
      <c r="I69" s="33">
        <f>24.87*(EXP(-((B69+6.5)^2)/(2*(7.5^2)))+EXP(-((B69-6.5)^2)/(2*(7.5^2))))</f>
        <v/>
      </c>
      <c r="J69" s="33">
        <f>33.16*(EXP(-((B69+6.5)^2)/(2*(7.5^2)))+EXP(-((B69-6.5)^2)/(2*(7.5^2))))</f>
        <v/>
      </c>
      <c r="K69" s="33">
        <f>(0.01*(3.15^2)*(4*(1-0.3)*15/(B69^2+225))*EXP(-1.38*(B69^2)/(18.15^2)))*1000</f>
        <v/>
      </c>
      <c r="L69" s="33">
        <f>ABS(H70-H68)/2</f>
        <v/>
      </c>
    </row>
    <row r="70">
      <c r="B70" s="11" t="n">
        <v>14</v>
      </c>
      <c r="C70" s="32">
        <f>8.29*EXP(-(B70^2)/(2*(7.5^2)))</f>
        <v/>
      </c>
      <c r="D70" s="32">
        <f>16.58*EXP(-(B70^2)/(2*(7.5^2)))</f>
        <v/>
      </c>
      <c r="E70" s="32">
        <f>24.87*EXP(-(B70^2)/(2*(7.5^2)))</f>
        <v/>
      </c>
      <c r="F70" s="32">
        <f>33.16*EXP(-(B70^2)/(2*(7.5^2)))</f>
        <v/>
      </c>
      <c r="G70" s="32">
        <f>8.29*(EXP(-((B70+6.5)^2)/(2*(7.5^2)))+EXP(-((B70-6.5)^2)/(2*(7.5^2))))</f>
        <v/>
      </c>
      <c r="H70" s="32">
        <f>16.58*(EXP(-((B70+6.5)^2)/(2*(7.5^2)))+EXP(-((B70-6.5)^2)/(2*(7.5^2))))</f>
        <v/>
      </c>
      <c r="I70" s="32">
        <f>24.87*(EXP(-((B70+6.5)^2)/(2*(7.5^2)))+EXP(-((B70-6.5)^2)/(2*(7.5^2))))</f>
        <v/>
      </c>
      <c r="J70" s="32">
        <f>33.16*(EXP(-((B70+6.5)^2)/(2*(7.5^2)))+EXP(-((B70-6.5)^2)/(2*(7.5^2))))</f>
        <v/>
      </c>
      <c r="K70" s="32">
        <f>(0.01*(3.15^2)*(4*(1-0.3)*15/(B70^2+225))*EXP(-1.38*(B70^2)/(18.15^2)))*1000</f>
        <v/>
      </c>
      <c r="L70" s="32">
        <f>ABS(H71-H69)/2</f>
        <v/>
      </c>
    </row>
    <row r="71">
      <c r="B71" s="11" t="n">
        <v>15</v>
      </c>
      <c r="C71" s="33">
        <f>8.29*EXP(-(B71^2)/(2*(7.5^2)))</f>
        <v/>
      </c>
      <c r="D71" s="33">
        <f>16.58*EXP(-(B71^2)/(2*(7.5^2)))</f>
        <v/>
      </c>
      <c r="E71" s="33">
        <f>24.87*EXP(-(B71^2)/(2*(7.5^2)))</f>
        <v/>
      </c>
      <c r="F71" s="33">
        <f>33.16*EXP(-(B71^2)/(2*(7.5^2)))</f>
        <v/>
      </c>
      <c r="G71" s="33">
        <f>8.29*(EXP(-((B71+6.5)^2)/(2*(7.5^2)))+EXP(-((B71-6.5)^2)/(2*(7.5^2))))</f>
        <v/>
      </c>
      <c r="H71" s="33">
        <f>16.58*(EXP(-((B71+6.5)^2)/(2*(7.5^2)))+EXP(-((B71-6.5)^2)/(2*(7.5^2))))</f>
        <v/>
      </c>
      <c r="I71" s="33">
        <f>24.87*(EXP(-((B71+6.5)^2)/(2*(7.5^2)))+EXP(-((B71-6.5)^2)/(2*(7.5^2))))</f>
        <v/>
      </c>
      <c r="J71" s="33">
        <f>33.16*(EXP(-((B71+6.5)^2)/(2*(7.5^2)))+EXP(-((B71-6.5)^2)/(2*(7.5^2))))</f>
        <v/>
      </c>
      <c r="K71" s="33">
        <f>(0.01*(3.15^2)*(4*(1-0.3)*15/(B71^2+225))*EXP(-1.38*(B71^2)/(18.15^2)))*1000</f>
        <v/>
      </c>
      <c r="L71" s="33">
        <f>ABS(H72-H70)/2</f>
        <v/>
      </c>
    </row>
    <row r="72">
      <c r="B72" s="11" t="n">
        <v>16</v>
      </c>
      <c r="C72" s="32">
        <f>8.29*EXP(-(B72^2)/(2*(7.5^2)))</f>
        <v/>
      </c>
      <c r="D72" s="32">
        <f>16.58*EXP(-(B72^2)/(2*(7.5^2)))</f>
        <v/>
      </c>
      <c r="E72" s="32">
        <f>24.87*EXP(-(B72^2)/(2*(7.5^2)))</f>
        <v/>
      </c>
      <c r="F72" s="32">
        <f>33.16*EXP(-(B72^2)/(2*(7.5^2)))</f>
        <v/>
      </c>
      <c r="G72" s="32">
        <f>8.29*(EXP(-((B72+6.5)^2)/(2*(7.5^2)))+EXP(-((B72-6.5)^2)/(2*(7.5^2))))</f>
        <v/>
      </c>
      <c r="H72" s="32">
        <f>16.58*(EXP(-((B72+6.5)^2)/(2*(7.5^2)))+EXP(-((B72-6.5)^2)/(2*(7.5^2))))</f>
        <v/>
      </c>
      <c r="I72" s="32">
        <f>24.87*(EXP(-((B72+6.5)^2)/(2*(7.5^2)))+EXP(-((B72-6.5)^2)/(2*(7.5^2))))</f>
        <v/>
      </c>
      <c r="J72" s="32">
        <f>33.16*(EXP(-((B72+6.5)^2)/(2*(7.5^2)))+EXP(-((B72-6.5)^2)/(2*(7.5^2))))</f>
        <v/>
      </c>
      <c r="K72" s="32">
        <f>(0.01*(3.15^2)*(4*(1-0.3)*15/(B72^2+225))*EXP(-1.38*(B72^2)/(18.15^2)))*1000</f>
        <v/>
      </c>
      <c r="L72" s="32">
        <f>ABS(H73-H71)/2</f>
        <v/>
      </c>
    </row>
    <row r="73">
      <c r="B73" s="11" t="n">
        <v>17</v>
      </c>
      <c r="C73" s="33">
        <f>8.29*EXP(-(B73^2)/(2*(7.5^2)))</f>
        <v/>
      </c>
      <c r="D73" s="33">
        <f>16.58*EXP(-(B73^2)/(2*(7.5^2)))</f>
        <v/>
      </c>
      <c r="E73" s="33">
        <f>24.87*EXP(-(B73^2)/(2*(7.5^2)))</f>
        <v/>
      </c>
      <c r="F73" s="33">
        <f>33.16*EXP(-(B73^2)/(2*(7.5^2)))</f>
        <v/>
      </c>
      <c r="G73" s="33">
        <f>8.29*(EXP(-((B73+6.5)^2)/(2*(7.5^2)))+EXP(-((B73-6.5)^2)/(2*(7.5^2))))</f>
        <v/>
      </c>
      <c r="H73" s="33">
        <f>16.58*(EXP(-((B73+6.5)^2)/(2*(7.5^2)))+EXP(-((B73-6.5)^2)/(2*(7.5^2))))</f>
        <v/>
      </c>
      <c r="I73" s="33">
        <f>24.87*(EXP(-((B73+6.5)^2)/(2*(7.5^2)))+EXP(-((B73-6.5)^2)/(2*(7.5^2))))</f>
        <v/>
      </c>
      <c r="J73" s="33">
        <f>33.16*(EXP(-((B73+6.5)^2)/(2*(7.5^2)))+EXP(-((B73-6.5)^2)/(2*(7.5^2))))</f>
        <v/>
      </c>
      <c r="K73" s="33">
        <f>(0.01*(3.15^2)*(4*(1-0.3)*15/(B73^2+225))*EXP(-1.38*(B73^2)/(18.15^2)))*1000</f>
        <v/>
      </c>
      <c r="L73" s="33">
        <f>ABS(H74-H72)/2</f>
        <v/>
      </c>
    </row>
    <row r="74">
      <c r="B74" s="11" t="n">
        <v>18</v>
      </c>
      <c r="C74" s="32">
        <f>8.29*EXP(-(B74^2)/(2*(7.5^2)))</f>
        <v/>
      </c>
      <c r="D74" s="32">
        <f>16.58*EXP(-(B74^2)/(2*(7.5^2)))</f>
        <v/>
      </c>
      <c r="E74" s="32">
        <f>24.87*EXP(-(B74^2)/(2*(7.5^2)))</f>
        <v/>
      </c>
      <c r="F74" s="32">
        <f>33.16*EXP(-(B74^2)/(2*(7.5^2)))</f>
        <v/>
      </c>
      <c r="G74" s="32">
        <f>8.29*(EXP(-((B74+6.5)^2)/(2*(7.5^2)))+EXP(-((B74-6.5)^2)/(2*(7.5^2))))</f>
        <v/>
      </c>
      <c r="H74" s="32">
        <f>16.58*(EXP(-((B74+6.5)^2)/(2*(7.5^2)))+EXP(-((B74-6.5)^2)/(2*(7.5^2))))</f>
        <v/>
      </c>
      <c r="I74" s="32">
        <f>24.87*(EXP(-((B74+6.5)^2)/(2*(7.5^2)))+EXP(-((B74-6.5)^2)/(2*(7.5^2))))</f>
        <v/>
      </c>
      <c r="J74" s="32">
        <f>33.16*(EXP(-((B74+6.5)^2)/(2*(7.5^2)))+EXP(-((B74-6.5)^2)/(2*(7.5^2))))</f>
        <v/>
      </c>
      <c r="K74" s="32">
        <f>(0.01*(3.15^2)*(4*(1-0.3)*15/(B74^2+225))*EXP(-1.38*(B74^2)/(18.15^2)))*1000</f>
        <v/>
      </c>
      <c r="L74" s="32">
        <f>ABS(H75-H73)/2</f>
        <v/>
      </c>
    </row>
    <row r="75">
      <c r="B75" s="11" t="n">
        <v>19</v>
      </c>
      <c r="C75" s="33">
        <f>8.29*EXP(-(B75^2)/(2*(7.5^2)))</f>
        <v/>
      </c>
      <c r="D75" s="33">
        <f>16.58*EXP(-(B75^2)/(2*(7.5^2)))</f>
        <v/>
      </c>
      <c r="E75" s="33">
        <f>24.87*EXP(-(B75^2)/(2*(7.5^2)))</f>
        <v/>
      </c>
      <c r="F75" s="33">
        <f>33.16*EXP(-(B75^2)/(2*(7.5^2)))</f>
        <v/>
      </c>
      <c r="G75" s="33">
        <f>8.29*(EXP(-((B75+6.5)^2)/(2*(7.5^2)))+EXP(-((B75-6.5)^2)/(2*(7.5^2))))</f>
        <v/>
      </c>
      <c r="H75" s="33">
        <f>16.58*(EXP(-((B75+6.5)^2)/(2*(7.5^2)))+EXP(-((B75-6.5)^2)/(2*(7.5^2))))</f>
        <v/>
      </c>
      <c r="I75" s="33">
        <f>24.87*(EXP(-((B75+6.5)^2)/(2*(7.5^2)))+EXP(-((B75-6.5)^2)/(2*(7.5^2))))</f>
        <v/>
      </c>
      <c r="J75" s="33">
        <f>33.16*(EXP(-((B75+6.5)^2)/(2*(7.5^2)))+EXP(-((B75-6.5)^2)/(2*(7.5^2))))</f>
        <v/>
      </c>
      <c r="K75" s="33">
        <f>(0.01*(3.15^2)*(4*(1-0.3)*15/(B75^2+225))*EXP(-1.38*(B75^2)/(18.15^2)))*1000</f>
        <v/>
      </c>
      <c r="L75" s="33">
        <f>ABS(H76-H74)/2</f>
        <v/>
      </c>
    </row>
    <row r="76">
      <c r="B76" s="11" t="n">
        <v>20</v>
      </c>
      <c r="C76" s="32">
        <f>8.29*EXP(-(B76^2)/(2*(7.5^2)))</f>
        <v/>
      </c>
      <c r="D76" s="32">
        <f>16.58*EXP(-(B76^2)/(2*(7.5^2)))</f>
        <v/>
      </c>
      <c r="E76" s="32">
        <f>24.87*EXP(-(B76^2)/(2*(7.5^2)))</f>
        <v/>
      </c>
      <c r="F76" s="32">
        <f>33.16*EXP(-(B76^2)/(2*(7.5^2)))</f>
        <v/>
      </c>
      <c r="G76" s="32">
        <f>8.29*(EXP(-((B76+6.5)^2)/(2*(7.5^2)))+EXP(-((B76-6.5)^2)/(2*(7.5^2))))</f>
        <v/>
      </c>
      <c r="H76" s="32">
        <f>16.58*(EXP(-((B76+6.5)^2)/(2*(7.5^2)))+EXP(-((B76-6.5)^2)/(2*(7.5^2))))</f>
        <v/>
      </c>
      <c r="I76" s="32">
        <f>24.87*(EXP(-((B76+6.5)^2)/(2*(7.5^2)))+EXP(-((B76-6.5)^2)/(2*(7.5^2))))</f>
        <v/>
      </c>
      <c r="J76" s="32">
        <f>33.16*(EXP(-((B76+6.5)^2)/(2*(7.5^2)))+EXP(-((B76-6.5)^2)/(2*(7.5^2))))</f>
        <v/>
      </c>
      <c r="K76" s="32">
        <f>(0.01*(3.15^2)*(4*(1-0.3)*15/(B76^2+225))*EXP(-1.38*(B76^2)/(18.15^2)))*1000</f>
        <v/>
      </c>
      <c r="L76" s="32">
        <f>ABS(H77-H75)/2</f>
        <v/>
      </c>
    </row>
    <row r="77">
      <c r="B77" s="11" t="n">
        <v>21</v>
      </c>
      <c r="C77" s="33">
        <f>8.29*EXP(-(B77^2)/(2*(7.5^2)))</f>
        <v/>
      </c>
      <c r="D77" s="33">
        <f>16.58*EXP(-(B77^2)/(2*(7.5^2)))</f>
        <v/>
      </c>
      <c r="E77" s="33">
        <f>24.87*EXP(-(B77^2)/(2*(7.5^2)))</f>
        <v/>
      </c>
      <c r="F77" s="33">
        <f>33.16*EXP(-(B77^2)/(2*(7.5^2)))</f>
        <v/>
      </c>
      <c r="G77" s="33">
        <f>8.29*(EXP(-((B77+6.5)^2)/(2*(7.5^2)))+EXP(-((B77-6.5)^2)/(2*(7.5^2))))</f>
        <v/>
      </c>
      <c r="H77" s="33">
        <f>16.58*(EXP(-((B77+6.5)^2)/(2*(7.5^2)))+EXP(-((B77-6.5)^2)/(2*(7.5^2))))</f>
        <v/>
      </c>
      <c r="I77" s="33">
        <f>24.87*(EXP(-((B77+6.5)^2)/(2*(7.5^2)))+EXP(-((B77-6.5)^2)/(2*(7.5^2))))</f>
        <v/>
      </c>
      <c r="J77" s="33">
        <f>33.16*(EXP(-((B77+6.5)^2)/(2*(7.5^2)))+EXP(-((B77-6.5)^2)/(2*(7.5^2))))</f>
        <v/>
      </c>
      <c r="K77" s="33">
        <f>(0.01*(3.15^2)*(4*(1-0.3)*15/(B77^2+225))*EXP(-1.38*(B77^2)/(18.15^2)))*1000</f>
        <v/>
      </c>
      <c r="L77" s="33">
        <f>ABS(H78-H76)/2</f>
        <v/>
      </c>
    </row>
    <row r="78">
      <c r="B78" s="11" t="n">
        <v>22</v>
      </c>
      <c r="C78" s="32">
        <f>8.29*EXP(-(B78^2)/(2*(7.5^2)))</f>
        <v/>
      </c>
      <c r="D78" s="32">
        <f>16.58*EXP(-(B78^2)/(2*(7.5^2)))</f>
        <v/>
      </c>
      <c r="E78" s="32">
        <f>24.87*EXP(-(B78^2)/(2*(7.5^2)))</f>
        <v/>
      </c>
      <c r="F78" s="32">
        <f>33.16*EXP(-(B78^2)/(2*(7.5^2)))</f>
        <v/>
      </c>
      <c r="G78" s="32">
        <f>8.29*(EXP(-((B78+6.5)^2)/(2*(7.5^2)))+EXP(-((B78-6.5)^2)/(2*(7.5^2))))</f>
        <v/>
      </c>
      <c r="H78" s="32">
        <f>16.58*(EXP(-((B78+6.5)^2)/(2*(7.5^2)))+EXP(-((B78-6.5)^2)/(2*(7.5^2))))</f>
        <v/>
      </c>
      <c r="I78" s="32">
        <f>24.87*(EXP(-((B78+6.5)^2)/(2*(7.5^2)))+EXP(-((B78-6.5)^2)/(2*(7.5^2))))</f>
        <v/>
      </c>
      <c r="J78" s="32">
        <f>33.16*(EXP(-((B78+6.5)^2)/(2*(7.5^2)))+EXP(-((B78-6.5)^2)/(2*(7.5^2))))</f>
        <v/>
      </c>
      <c r="K78" s="32">
        <f>(0.01*(3.15^2)*(4*(1-0.3)*15/(B78^2+225))*EXP(-1.38*(B78^2)/(18.15^2)))*1000</f>
        <v/>
      </c>
      <c r="L78" s="32">
        <f>ABS(H79-H77)/2</f>
        <v/>
      </c>
    </row>
    <row r="79">
      <c r="B79" s="11" t="n">
        <v>23</v>
      </c>
      <c r="C79" s="33">
        <f>8.29*EXP(-(B79^2)/(2*(7.5^2)))</f>
        <v/>
      </c>
      <c r="D79" s="33">
        <f>16.58*EXP(-(B79^2)/(2*(7.5^2)))</f>
        <v/>
      </c>
      <c r="E79" s="33">
        <f>24.87*EXP(-(B79^2)/(2*(7.5^2)))</f>
        <v/>
      </c>
      <c r="F79" s="33">
        <f>33.16*EXP(-(B79^2)/(2*(7.5^2)))</f>
        <v/>
      </c>
      <c r="G79" s="33">
        <f>8.29*(EXP(-((B79+6.5)^2)/(2*(7.5^2)))+EXP(-((B79-6.5)^2)/(2*(7.5^2))))</f>
        <v/>
      </c>
      <c r="H79" s="33">
        <f>16.58*(EXP(-((B79+6.5)^2)/(2*(7.5^2)))+EXP(-((B79-6.5)^2)/(2*(7.5^2))))</f>
        <v/>
      </c>
      <c r="I79" s="33">
        <f>24.87*(EXP(-((B79+6.5)^2)/(2*(7.5^2)))+EXP(-((B79-6.5)^2)/(2*(7.5^2))))</f>
        <v/>
      </c>
      <c r="J79" s="33">
        <f>33.16*(EXP(-((B79+6.5)^2)/(2*(7.5^2)))+EXP(-((B79-6.5)^2)/(2*(7.5^2))))</f>
        <v/>
      </c>
      <c r="K79" s="33">
        <f>(0.01*(3.15^2)*(4*(1-0.3)*15/(B79^2+225))*EXP(-1.38*(B79^2)/(18.15^2)))*1000</f>
        <v/>
      </c>
      <c r="L79" s="33">
        <f>ABS(H80-H78)/2</f>
        <v/>
      </c>
    </row>
    <row r="80">
      <c r="B80" s="11" t="n">
        <v>24</v>
      </c>
      <c r="C80" s="32">
        <f>8.29*EXP(-(B80^2)/(2*(7.5^2)))</f>
        <v/>
      </c>
      <c r="D80" s="32">
        <f>16.58*EXP(-(B80^2)/(2*(7.5^2)))</f>
        <v/>
      </c>
      <c r="E80" s="32">
        <f>24.87*EXP(-(B80^2)/(2*(7.5^2)))</f>
        <v/>
      </c>
      <c r="F80" s="32">
        <f>33.16*EXP(-(B80^2)/(2*(7.5^2)))</f>
        <v/>
      </c>
      <c r="G80" s="32">
        <f>8.29*(EXP(-((B80+6.5)^2)/(2*(7.5^2)))+EXP(-((B80-6.5)^2)/(2*(7.5^2))))</f>
        <v/>
      </c>
      <c r="H80" s="32">
        <f>16.58*(EXP(-((B80+6.5)^2)/(2*(7.5^2)))+EXP(-((B80-6.5)^2)/(2*(7.5^2))))</f>
        <v/>
      </c>
      <c r="I80" s="32">
        <f>24.87*(EXP(-((B80+6.5)^2)/(2*(7.5^2)))+EXP(-((B80-6.5)^2)/(2*(7.5^2))))</f>
        <v/>
      </c>
      <c r="J80" s="32">
        <f>33.16*(EXP(-((B80+6.5)^2)/(2*(7.5^2)))+EXP(-((B80-6.5)^2)/(2*(7.5^2))))</f>
        <v/>
      </c>
      <c r="K80" s="32">
        <f>(0.01*(3.15^2)*(4*(1-0.3)*15/(B80^2+225))*EXP(-1.38*(B80^2)/(18.15^2)))*1000</f>
        <v/>
      </c>
      <c r="L80" s="32">
        <f>ABS(H81-H79)/2</f>
        <v/>
      </c>
    </row>
    <row r="81">
      <c r="B81" s="11" t="n">
        <v>25</v>
      </c>
      <c r="C81" s="33">
        <f>8.29*EXP(-(B81^2)/(2*(7.5^2)))</f>
        <v/>
      </c>
      <c r="D81" s="33">
        <f>16.58*EXP(-(B81^2)/(2*(7.5^2)))</f>
        <v/>
      </c>
      <c r="E81" s="33">
        <f>24.87*EXP(-(B81^2)/(2*(7.5^2)))</f>
        <v/>
      </c>
      <c r="F81" s="33">
        <f>33.16*EXP(-(B81^2)/(2*(7.5^2)))</f>
        <v/>
      </c>
      <c r="G81" s="33">
        <f>8.29*(EXP(-((B81+6.5)^2)/(2*(7.5^2)))+EXP(-((B81-6.5)^2)/(2*(7.5^2))))</f>
        <v/>
      </c>
      <c r="H81" s="33">
        <f>16.58*(EXP(-((B81+6.5)^2)/(2*(7.5^2)))+EXP(-((B81-6.5)^2)/(2*(7.5^2))))</f>
        <v/>
      </c>
      <c r="I81" s="33">
        <f>24.87*(EXP(-((B81+6.5)^2)/(2*(7.5^2)))+EXP(-((B81-6.5)^2)/(2*(7.5^2))))</f>
        <v/>
      </c>
      <c r="J81" s="33">
        <f>33.16*(EXP(-((B81+6.5)^2)/(2*(7.5^2)))+EXP(-((B81-6.5)^2)/(2*(7.5^2))))</f>
        <v/>
      </c>
      <c r="K81" s="33">
        <f>(0.01*(3.15^2)*(4*(1-0.3)*15/(B81^2+225))*EXP(-1.38*(B81^2)/(18.15^2)))*1000</f>
        <v/>
      </c>
      <c r="L81" s="33">
        <f>ABS(H82-H80)/2</f>
        <v/>
      </c>
    </row>
    <row r="82">
      <c r="B82" s="11" t="n">
        <v>26</v>
      </c>
      <c r="C82" s="32">
        <f>8.29*EXP(-(B82^2)/(2*(7.5^2)))</f>
        <v/>
      </c>
      <c r="D82" s="32">
        <f>16.58*EXP(-(B82^2)/(2*(7.5^2)))</f>
        <v/>
      </c>
      <c r="E82" s="32">
        <f>24.87*EXP(-(B82^2)/(2*(7.5^2)))</f>
        <v/>
      </c>
      <c r="F82" s="32">
        <f>33.16*EXP(-(B82^2)/(2*(7.5^2)))</f>
        <v/>
      </c>
      <c r="G82" s="32">
        <f>8.29*(EXP(-((B82+6.5)^2)/(2*(7.5^2)))+EXP(-((B82-6.5)^2)/(2*(7.5^2))))</f>
        <v/>
      </c>
      <c r="H82" s="32">
        <f>16.58*(EXP(-((B82+6.5)^2)/(2*(7.5^2)))+EXP(-((B82-6.5)^2)/(2*(7.5^2))))</f>
        <v/>
      </c>
      <c r="I82" s="32">
        <f>24.87*(EXP(-((B82+6.5)^2)/(2*(7.5^2)))+EXP(-((B82-6.5)^2)/(2*(7.5^2))))</f>
        <v/>
      </c>
      <c r="J82" s="32">
        <f>33.16*(EXP(-((B82+6.5)^2)/(2*(7.5^2)))+EXP(-((B82-6.5)^2)/(2*(7.5^2))))</f>
        <v/>
      </c>
      <c r="K82" s="32">
        <f>(0.01*(3.15^2)*(4*(1-0.3)*15/(B82^2+225))*EXP(-1.38*(B82^2)/(18.15^2)))*1000</f>
        <v/>
      </c>
      <c r="L82" s="32">
        <f>ABS(H83-H81)/2</f>
        <v/>
      </c>
    </row>
    <row r="83">
      <c r="B83" s="11" t="n">
        <v>27</v>
      </c>
      <c r="C83" s="33">
        <f>8.29*EXP(-(B83^2)/(2*(7.5^2)))</f>
        <v/>
      </c>
      <c r="D83" s="33">
        <f>16.58*EXP(-(B83^2)/(2*(7.5^2)))</f>
        <v/>
      </c>
      <c r="E83" s="33">
        <f>24.87*EXP(-(B83^2)/(2*(7.5^2)))</f>
        <v/>
      </c>
      <c r="F83" s="33">
        <f>33.16*EXP(-(B83^2)/(2*(7.5^2)))</f>
        <v/>
      </c>
      <c r="G83" s="33">
        <f>8.29*(EXP(-((B83+6.5)^2)/(2*(7.5^2)))+EXP(-((B83-6.5)^2)/(2*(7.5^2))))</f>
        <v/>
      </c>
      <c r="H83" s="33">
        <f>16.58*(EXP(-((B83+6.5)^2)/(2*(7.5^2)))+EXP(-((B83-6.5)^2)/(2*(7.5^2))))</f>
        <v/>
      </c>
      <c r="I83" s="33">
        <f>24.87*(EXP(-((B83+6.5)^2)/(2*(7.5^2)))+EXP(-((B83-6.5)^2)/(2*(7.5^2))))</f>
        <v/>
      </c>
      <c r="J83" s="33">
        <f>33.16*(EXP(-((B83+6.5)^2)/(2*(7.5^2)))+EXP(-((B83-6.5)^2)/(2*(7.5^2))))</f>
        <v/>
      </c>
      <c r="K83" s="33">
        <f>(0.01*(3.15^2)*(4*(1-0.3)*15/(B83^2+225))*EXP(-1.38*(B83^2)/(18.15^2)))*1000</f>
        <v/>
      </c>
      <c r="L83" s="33">
        <f>ABS(H84-H82)/2</f>
        <v/>
      </c>
    </row>
    <row r="84">
      <c r="B84" s="11" t="n">
        <v>28</v>
      </c>
      <c r="C84" s="32">
        <f>8.29*EXP(-(B84^2)/(2*(7.5^2)))</f>
        <v/>
      </c>
      <c r="D84" s="32">
        <f>16.58*EXP(-(B84^2)/(2*(7.5^2)))</f>
        <v/>
      </c>
      <c r="E84" s="32">
        <f>24.87*EXP(-(B84^2)/(2*(7.5^2)))</f>
        <v/>
      </c>
      <c r="F84" s="32">
        <f>33.16*EXP(-(B84^2)/(2*(7.5^2)))</f>
        <v/>
      </c>
      <c r="G84" s="32">
        <f>8.29*(EXP(-((B84+6.5)^2)/(2*(7.5^2)))+EXP(-((B84-6.5)^2)/(2*(7.5^2))))</f>
        <v/>
      </c>
      <c r="H84" s="32">
        <f>16.58*(EXP(-((B84+6.5)^2)/(2*(7.5^2)))+EXP(-((B84-6.5)^2)/(2*(7.5^2))))</f>
        <v/>
      </c>
      <c r="I84" s="32">
        <f>24.87*(EXP(-((B84+6.5)^2)/(2*(7.5^2)))+EXP(-((B84-6.5)^2)/(2*(7.5^2))))</f>
        <v/>
      </c>
      <c r="J84" s="32">
        <f>33.16*(EXP(-((B84+6.5)^2)/(2*(7.5^2)))+EXP(-((B84-6.5)^2)/(2*(7.5^2))))</f>
        <v/>
      </c>
      <c r="K84" s="32">
        <f>(0.01*(3.15^2)*(4*(1-0.3)*15/(B84^2+225))*EXP(-1.38*(B84^2)/(18.15^2)))*1000</f>
        <v/>
      </c>
      <c r="L84" s="32">
        <f>ABS(H85-H83)/2</f>
        <v/>
      </c>
    </row>
    <row r="85">
      <c r="B85" s="11" t="n">
        <v>29</v>
      </c>
      <c r="C85" s="33">
        <f>8.29*EXP(-(B85^2)/(2*(7.5^2)))</f>
        <v/>
      </c>
      <c r="D85" s="33">
        <f>16.58*EXP(-(B85^2)/(2*(7.5^2)))</f>
        <v/>
      </c>
      <c r="E85" s="33">
        <f>24.87*EXP(-(B85^2)/(2*(7.5^2)))</f>
        <v/>
      </c>
      <c r="F85" s="33">
        <f>33.16*EXP(-(B85^2)/(2*(7.5^2)))</f>
        <v/>
      </c>
      <c r="G85" s="33">
        <f>8.29*(EXP(-((B85+6.5)^2)/(2*(7.5^2)))+EXP(-((B85-6.5)^2)/(2*(7.5^2))))</f>
        <v/>
      </c>
      <c r="H85" s="33">
        <f>16.58*(EXP(-((B85+6.5)^2)/(2*(7.5^2)))+EXP(-((B85-6.5)^2)/(2*(7.5^2))))</f>
        <v/>
      </c>
      <c r="I85" s="33">
        <f>24.87*(EXP(-((B85+6.5)^2)/(2*(7.5^2)))+EXP(-((B85-6.5)^2)/(2*(7.5^2))))</f>
        <v/>
      </c>
      <c r="J85" s="33">
        <f>33.16*(EXP(-((B85+6.5)^2)/(2*(7.5^2)))+EXP(-((B85-6.5)^2)/(2*(7.5^2))))</f>
        <v/>
      </c>
      <c r="K85" s="33">
        <f>(0.01*(3.15^2)*(4*(1-0.3)*15/(B85^2+225))*EXP(-1.38*(B85^2)/(18.15^2)))*1000</f>
        <v/>
      </c>
      <c r="L85" s="33">
        <f>ABS(H86-H84)/2</f>
        <v/>
      </c>
    </row>
    <row r="86">
      <c r="B86" s="11" t="n">
        <v>30</v>
      </c>
      <c r="C86" s="32">
        <f>8.29*EXP(-(B86^2)/(2*(7.5^2)))</f>
        <v/>
      </c>
      <c r="D86" s="32">
        <f>16.58*EXP(-(B86^2)/(2*(7.5^2)))</f>
        <v/>
      </c>
      <c r="E86" s="32">
        <f>24.87*EXP(-(B86^2)/(2*(7.5^2)))</f>
        <v/>
      </c>
      <c r="F86" s="32">
        <f>33.16*EXP(-(B86^2)/(2*(7.5^2)))</f>
        <v/>
      </c>
      <c r="G86" s="32">
        <f>8.29*(EXP(-((B86+6.5)^2)/(2*(7.5^2)))+EXP(-((B86-6.5)^2)/(2*(7.5^2))))</f>
        <v/>
      </c>
      <c r="H86" s="32">
        <f>16.58*(EXP(-((B86+6.5)^2)/(2*(7.5^2)))+EXP(-((B86-6.5)^2)/(2*(7.5^2))))</f>
        <v/>
      </c>
      <c r="I86" s="32">
        <f>24.87*(EXP(-((B86+6.5)^2)/(2*(7.5^2)))+EXP(-((B86-6.5)^2)/(2*(7.5^2))))</f>
        <v/>
      </c>
      <c r="J86" s="32">
        <f>33.16*(EXP(-((B86+6.5)^2)/(2*(7.5^2)))+EXP(-((B86-6.5)^2)/(2*(7.5^2))))</f>
        <v/>
      </c>
      <c r="K86" s="32">
        <f>(0.01*(3.15^2)*(4*(1-0.3)*15/(B86^2+225))*EXP(-1.38*(B86^2)/(18.15^2)))*1000</f>
        <v/>
      </c>
      <c r="L86" s="32">
        <f>ABS(H87-H85)/2</f>
        <v/>
      </c>
    </row>
    <row r="87">
      <c r="B87" s="11" t="n">
        <v>31</v>
      </c>
      <c r="C87" s="33">
        <f>8.29*EXP(-(B87^2)/(2*(7.5^2)))</f>
        <v/>
      </c>
      <c r="D87" s="33">
        <f>16.58*EXP(-(B87^2)/(2*(7.5^2)))</f>
        <v/>
      </c>
      <c r="E87" s="33">
        <f>24.87*EXP(-(B87^2)/(2*(7.5^2)))</f>
        <v/>
      </c>
      <c r="F87" s="33">
        <f>33.16*EXP(-(B87^2)/(2*(7.5^2)))</f>
        <v/>
      </c>
      <c r="G87" s="33">
        <f>8.29*(EXP(-((B87+6.5)^2)/(2*(7.5^2)))+EXP(-((B87-6.5)^2)/(2*(7.5^2))))</f>
        <v/>
      </c>
      <c r="H87" s="33">
        <f>16.58*(EXP(-((B87+6.5)^2)/(2*(7.5^2)))+EXP(-((B87-6.5)^2)/(2*(7.5^2))))</f>
        <v/>
      </c>
      <c r="I87" s="33">
        <f>24.87*(EXP(-((B87+6.5)^2)/(2*(7.5^2)))+EXP(-((B87-6.5)^2)/(2*(7.5^2))))</f>
        <v/>
      </c>
      <c r="J87" s="33">
        <f>33.16*(EXP(-((B87+6.5)^2)/(2*(7.5^2)))+EXP(-((B87-6.5)^2)/(2*(7.5^2))))</f>
        <v/>
      </c>
      <c r="K87" s="33">
        <f>(0.01*(3.15^2)*(4*(1-0.3)*15/(B87^2+225))*EXP(-1.38*(B87^2)/(18.15^2)))*1000</f>
        <v/>
      </c>
      <c r="L87" s="33">
        <f>ABS(H88-H86)/2</f>
        <v/>
      </c>
    </row>
    <row r="88">
      <c r="B88" s="11" t="n">
        <v>32</v>
      </c>
      <c r="C88" s="32">
        <f>8.29*EXP(-(B88^2)/(2*(7.5^2)))</f>
        <v/>
      </c>
      <c r="D88" s="32">
        <f>16.58*EXP(-(B88^2)/(2*(7.5^2)))</f>
        <v/>
      </c>
      <c r="E88" s="32">
        <f>24.87*EXP(-(B88^2)/(2*(7.5^2)))</f>
        <v/>
      </c>
      <c r="F88" s="32">
        <f>33.16*EXP(-(B88^2)/(2*(7.5^2)))</f>
        <v/>
      </c>
      <c r="G88" s="32">
        <f>8.29*(EXP(-((B88+6.5)^2)/(2*(7.5^2)))+EXP(-((B88-6.5)^2)/(2*(7.5^2))))</f>
        <v/>
      </c>
      <c r="H88" s="32">
        <f>16.58*(EXP(-((B88+6.5)^2)/(2*(7.5^2)))+EXP(-((B88-6.5)^2)/(2*(7.5^2))))</f>
        <v/>
      </c>
      <c r="I88" s="32">
        <f>24.87*(EXP(-((B88+6.5)^2)/(2*(7.5^2)))+EXP(-((B88-6.5)^2)/(2*(7.5^2))))</f>
        <v/>
      </c>
      <c r="J88" s="32">
        <f>33.16*(EXP(-((B88+6.5)^2)/(2*(7.5^2)))+EXP(-((B88-6.5)^2)/(2*(7.5^2))))</f>
        <v/>
      </c>
      <c r="K88" s="32">
        <f>(0.01*(3.15^2)*(4*(1-0.3)*15/(B88^2+225))*EXP(-1.38*(B88^2)/(18.15^2)))*1000</f>
        <v/>
      </c>
      <c r="L88" s="32">
        <f>ABS(H89-H87)/2</f>
        <v/>
      </c>
    </row>
    <row r="89">
      <c r="B89" s="11" t="n">
        <v>33</v>
      </c>
      <c r="C89" s="33">
        <f>8.29*EXP(-(B89^2)/(2*(7.5^2)))</f>
        <v/>
      </c>
      <c r="D89" s="33">
        <f>16.58*EXP(-(B89^2)/(2*(7.5^2)))</f>
        <v/>
      </c>
      <c r="E89" s="33">
        <f>24.87*EXP(-(B89^2)/(2*(7.5^2)))</f>
        <v/>
      </c>
      <c r="F89" s="33">
        <f>33.16*EXP(-(B89^2)/(2*(7.5^2)))</f>
        <v/>
      </c>
      <c r="G89" s="33">
        <f>8.29*(EXP(-((B89+6.5)^2)/(2*(7.5^2)))+EXP(-((B89-6.5)^2)/(2*(7.5^2))))</f>
        <v/>
      </c>
      <c r="H89" s="33">
        <f>16.58*(EXP(-((B89+6.5)^2)/(2*(7.5^2)))+EXP(-((B89-6.5)^2)/(2*(7.5^2))))</f>
        <v/>
      </c>
      <c r="I89" s="33">
        <f>24.87*(EXP(-((B89+6.5)^2)/(2*(7.5^2)))+EXP(-((B89-6.5)^2)/(2*(7.5^2))))</f>
        <v/>
      </c>
      <c r="J89" s="33">
        <f>33.16*(EXP(-((B89+6.5)^2)/(2*(7.5^2)))+EXP(-((B89-6.5)^2)/(2*(7.5^2))))</f>
        <v/>
      </c>
      <c r="K89" s="33">
        <f>(0.01*(3.15^2)*(4*(1-0.3)*15/(B89^2+225))*EXP(-1.38*(B89^2)/(18.15^2)))*1000</f>
        <v/>
      </c>
      <c r="L89" s="33">
        <f>ABS(H90-H88)/2</f>
        <v/>
      </c>
    </row>
    <row r="90">
      <c r="B90" s="11" t="n">
        <v>34</v>
      </c>
      <c r="C90" s="32">
        <f>8.29*EXP(-(B90^2)/(2*(7.5^2)))</f>
        <v/>
      </c>
      <c r="D90" s="32">
        <f>16.58*EXP(-(B90^2)/(2*(7.5^2)))</f>
        <v/>
      </c>
      <c r="E90" s="32">
        <f>24.87*EXP(-(B90^2)/(2*(7.5^2)))</f>
        <v/>
      </c>
      <c r="F90" s="32">
        <f>33.16*EXP(-(B90^2)/(2*(7.5^2)))</f>
        <v/>
      </c>
      <c r="G90" s="32">
        <f>8.29*(EXP(-((B90+6.5)^2)/(2*(7.5^2)))+EXP(-((B90-6.5)^2)/(2*(7.5^2))))</f>
        <v/>
      </c>
      <c r="H90" s="32">
        <f>16.58*(EXP(-((B90+6.5)^2)/(2*(7.5^2)))+EXP(-((B90-6.5)^2)/(2*(7.5^2))))</f>
        <v/>
      </c>
      <c r="I90" s="32">
        <f>24.87*(EXP(-((B90+6.5)^2)/(2*(7.5^2)))+EXP(-((B90-6.5)^2)/(2*(7.5^2))))</f>
        <v/>
      </c>
      <c r="J90" s="32">
        <f>33.16*(EXP(-((B90+6.5)^2)/(2*(7.5^2)))+EXP(-((B90-6.5)^2)/(2*(7.5^2))))</f>
        <v/>
      </c>
      <c r="K90" s="32">
        <f>(0.01*(3.15^2)*(4*(1-0.3)*15/(B90^2+225))*EXP(-1.38*(B90^2)/(18.15^2)))*1000</f>
        <v/>
      </c>
      <c r="L90" s="32">
        <f>ABS(H91-H89)/2</f>
        <v/>
      </c>
    </row>
    <row r="91">
      <c r="B91" s="11" t="n">
        <v>35</v>
      </c>
      <c r="C91" s="33">
        <f>8.29*EXP(-(B91^2)/(2*(7.5^2)))</f>
        <v/>
      </c>
      <c r="D91" s="33">
        <f>16.58*EXP(-(B91^2)/(2*(7.5^2)))</f>
        <v/>
      </c>
      <c r="E91" s="33">
        <f>24.87*EXP(-(B91^2)/(2*(7.5^2)))</f>
        <v/>
      </c>
      <c r="F91" s="33">
        <f>33.16*EXP(-(B91^2)/(2*(7.5^2)))</f>
        <v/>
      </c>
      <c r="G91" s="33">
        <f>8.29*(EXP(-((B91+6.5)^2)/(2*(7.5^2)))+EXP(-((B91-6.5)^2)/(2*(7.5^2))))</f>
        <v/>
      </c>
      <c r="H91" s="33">
        <f>16.58*(EXP(-((B91+6.5)^2)/(2*(7.5^2)))+EXP(-((B91-6.5)^2)/(2*(7.5^2))))</f>
        <v/>
      </c>
      <c r="I91" s="33">
        <f>24.87*(EXP(-((B91+6.5)^2)/(2*(7.5^2)))+EXP(-((B91-6.5)^2)/(2*(7.5^2))))</f>
        <v/>
      </c>
      <c r="J91" s="33">
        <f>33.16*(EXP(-((B91+6.5)^2)/(2*(7.5^2)))+EXP(-((B91-6.5)^2)/(2*(7.5^2))))</f>
        <v/>
      </c>
      <c r="K91" s="33">
        <f>(0.01*(3.15^2)*(4*(1-0.3)*15/(B91^2+225))*EXP(-1.38*(B91^2)/(18.15^2)))*1000</f>
        <v/>
      </c>
      <c r="L91" s="33">
        <f>ABS(H92-H90)/2</f>
        <v/>
      </c>
    </row>
    <row r="92">
      <c r="B92" s="11" t="n">
        <v>36</v>
      </c>
      <c r="C92" s="32">
        <f>8.29*EXP(-(B92^2)/(2*(7.5^2)))</f>
        <v/>
      </c>
      <c r="D92" s="32">
        <f>16.58*EXP(-(B92^2)/(2*(7.5^2)))</f>
        <v/>
      </c>
      <c r="E92" s="32">
        <f>24.87*EXP(-(B92^2)/(2*(7.5^2)))</f>
        <v/>
      </c>
      <c r="F92" s="32">
        <f>33.16*EXP(-(B92^2)/(2*(7.5^2)))</f>
        <v/>
      </c>
      <c r="G92" s="32">
        <f>8.29*(EXP(-((B92+6.5)^2)/(2*(7.5^2)))+EXP(-((B92-6.5)^2)/(2*(7.5^2))))</f>
        <v/>
      </c>
      <c r="H92" s="32">
        <f>16.58*(EXP(-((B92+6.5)^2)/(2*(7.5^2)))+EXP(-((B92-6.5)^2)/(2*(7.5^2))))</f>
        <v/>
      </c>
      <c r="I92" s="32">
        <f>24.87*(EXP(-((B92+6.5)^2)/(2*(7.5^2)))+EXP(-((B92-6.5)^2)/(2*(7.5^2))))</f>
        <v/>
      </c>
      <c r="J92" s="32">
        <f>33.16*(EXP(-((B92+6.5)^2)/(2*(7.5^2)))+EXP(-((B92-6.5)^2)/(2*(7.5^2))))</f>
        <v/>
      </c>
      <c r="K92" s="32">
        <f>(0.01*(3.15^2)*(4*(1-0.3)*15/(B92^2+225))*EXP(-1.38*(B92^2)/(18.15^2)))*1000</f>
        <v/>
      </c>
      <c r="L92" s="32">
        <f>ABS(H93-H91)/2</f>
        <v/>
      </c>
    </row>
    <row r="93">
      <c r="B93" s="11" t="n">
        <v>37</v>
      </c>
      <c r="C93" s="33">
        <f>8.29*EXP(-(B93^2)/(2*(7.5^2)))</f>
        <v/>
      </c>
      <c r="D93" s="33">
        <f>16.58*EXP(-(B93^2)/(2*(7.5^2)))</f>
        <v/>
      </c>
      <c r="E93" s="33">
        <f>24.87*EXP(-(B93^2)/(2*(7.5^2)))</f>
        <v/>
      </c>
      <c r="F93" s="33">
        <f>33.16*EXP(-(B93^2)/(2*(7.5^2)))</f>
        <v/>
      </c>
      <c r="G93" s="33">
        <f>8.29*(EXP(-((B93+6.5)^2)/(2*(7.5^2)))+EXP(-((B93-6.5)^2)/(2*(7.5^2))))</f>
        <v/>
      </c>
      <c r="H93" s="33">
        <f>16.58*(EXP(-((B93+6.5)^2)/(2*(7.5^2)))+EXP(-((B93-6.5)^2)/(2*(7.5^2))))</f>
        <v/>
      </c>
      <c r="I93" s="33">
        <f>24.87*(EXP(-((B93+6.5)^2)/(2*(7.5^2)))+EXP(-((B93-6.5)^2)/(2*(7.5^2))))</f>
        <v/>
      </c>
      <c r="J93" s="33">
        <f>33.16*(EXP(-((B93+6.5)^2)/(2*(7.5^2)))+EXP(-((B93-6.5)^2)/(2*(7.5^2))))</f>
        <v/>
      </c>
      <c r="K93" s="33">
        <f>(0.01*(3.15^2)*(4*(1-0.3)*15/(B93^2+225))*EXP(-1.38*(B93^2)/(18.15^2)))*1000</f>
        <v/>
      </c>
      <c r="L93" s="33">
        <f>ABS(H94-H92)/2</f>
        <v/>
      </c>
    </row>
    <row r="94">
      <c r="B94" s="11" t="n">
        <v>38</v>
      </c>
      <c r="C94" s="32">
        <f>8.29*EXP(-(B94^2)/(2*(7.5^2)))</f>
        <v/>
      </c>
      <c r="D94" s="32">
        <f>16.58*EXP(-(B94^2)/(2*(7.5^2)))</f>
        <v/>
      </c>
      <c r="E94" s="32">
        <f>24.87*EXP(-(B94^2)/(2*(7.5^2)))</f>
        <v/>
      </c>
      <c r="F94" s="32">
        <f>33.16*EXP(-(B94^2)/(2*(7.5^2)))</f>
        <v/>
      </c>
      <c r="G94" s="32">
        <f>8.29*(EXP(-((B94+6.5)^2)/(2*(7.5^2)))+EXP(-((B94-6.5)^2)/(2*(7.5^2))))</f>
        <v/>
      </c>
      <c r="H94" s="32">
        <f>16.58*(EXP(-((B94+6.5)^2)/(2*(7.5^2)))+EXP(-((B94-6.5)^2)/(2*(7.5^2))))</f>
        <v/>
      </c>
      <c r="I94" s="32">
        <f>24.87*(EXP(-((B94+6.5)^2)/(2*(7.5^2)))+EXP(-((B94-6.5)^2)/(2*(7.5^2))))</f>
        <v/>
      </c>
      <c r="J94" s="32">
        <f>33.16*(EXP(-((B94+6.5)^2)/(2*(7.5^2)))+EXP(-((B94-6.5)^2)/(2*(7.5^2))))</f>
        <v/>
      </c>
      <c r="K94" s="32">
        <f>(0.01*(3.15^2)*(4*(1-0.3)*15/(B94^2+225))*EXP(-1.38*(B94^2)/(18.15^2)))*1000</f>
        <v/>
      </c>
      <c r="L94" s="32">
        <f>ABS(H95-H93)/2</f>
        <v/>
      </c>
    </row>
    <row r="95">
      <c r="B95" s="11" t="n">
        <v>39</v>
      </c>
      <c r="C95" s="33">
        <f>8.29*EXP(-(B95^2)/(2*(7.5^2)))</f>
        <v/>
      </c>
      <c r="D95" s="33">
        <f>16.58*EXP(-(B95^2)/(2*(7.5^2)))</f>
        <v/>
      </c>
      <c r="E95" s="33">
        <f>24.87*EXP(-(B95^2)/(2*(7.5^2)))</f>
        <v/>
      </c>
      <c r="F95" s="33">
        <f>33.16*EXP(-(B95^2)/(2*(7.5^2)))</f>
        <v/>
      </c>
      <c r="G95" s="33">
        <f>8.29*(EXP(-((B95+6.5)^2)/(2*(7.5^2)))+EXP(-((B95-6.5)^2)/(2*(7.5^2))))</f>
        <v/>
      </c>
      <c r="H95" s="33">
        <f>16.58*(EXP(-((B95+6.5)^2)/(2*(7.5^2)))+EXP(-((B95-6.5)^2)/(2*(7.5^2))))</f>
        <v/>
      </c>
      <c r="I95" s="33">
        <f>24.87*(EXP(-((B95+6.5)^2)/(2*(7.5^2)))+EXP(-((B95-6.5)^2)/(2*(7.5^2))))</f>
        <v/>
      </c>
      <c r="J95" s="33">
        <f>33.16*(EXP(-((B95+6.5)^2)/(2*(7.5^2)))+EXP(-((B95-6.5)^2)/(2*(7.5^2))))</f>
        <v/>
      </c>
      <c r="K95" s="33">
        <f>(0.01*(3.15^2)*(4*(1-0.3)*15/(B95^2+225))*EXP(-1.38*(B95^2)/(18.15^2)))*1000</f>
        <v/>
      </c>
      <c r="L95" s="33">
        <f>ABS(H96-H94)/2</f>
        <v/>
      </c>
    </row>
    <row r="96">
      <c r="B96" s="11" t="n">
        <v>40</v>
      </c>
      <c r="C96" s="32">
        <f>8.29*EXP(-(B96^2)/(2*(7.5^2)))</f>
        <v/>
      </c>
      <c r="D96" s="32">
        <f>16.58*EXP(-(B96^2)/(2*(7.5^2)))</f>
        <v/>
      </c>
      <c r="E96" s="32">
        <f>24.87*EXP(-(B96^2)/(2*(7.5^2)))</f>
        <v/>
      </c>
      <c r="F96" s="32">
        <f>33.16*EXP(-(B96^2)/(2*(7.5^2)))</f>
        <v/>
      </c>
      <c r="G96" s="32">
        <f>8.29*(EXP(-((B96+6.5)^2)/(2*(7.5^2)))+EXP(-((B96-6.5)^2)/(2*(7.5^2))))</f>
        <v/>
      </c>
      <c r="H96" s="32">
        <f>16.58*(EXP(-((B96+6.5)^2)/(2*(7.5^2)))+EXP(-((B96-6.5)^2)/(2*(7.5^2))))</f>
        <v/>
      </c>
      <c r="I96" s="32">
        <f>24.87*(EXP(-((B96+6.5)^2)/(2*(7.5^2)))+EXP(-((B96-6.5)^2)/(2*(7.5^2))))</f>
        <v/>
      </c>
      <c r="J96" s="32">
        <f>33.16*(EXP(-((B96+6.5)^2)/(2*(7.5^2)))+EXP(-((B96-6.5)^2)/(2*(7.5^2))))</f>
        <v/>
      </c>
      <c r="K96" s="32">
        <f>(0.01*(3.15^2)*(4*(1-0.3)*15/(B96^2+225))*EXP(-1.38*(B96^2)/(18.15^2)))*1000</f>
        <v/>
      </c>
      <c r="L96" s="32">
        <f>ABS(H97-H95)/2</f>
        <v/>
      </c>
    </row>
    <row r="97">
      <c r="B97" s="11" t="n">
        <v>41</v>
      </c>
      <c r="C97" s="33">
        <f>8.29*EXP(-(B97^2)/(2*(7.5^2)))</f>
        <v/>
      </c>
      <c r="D97" s="33">
        <f>16.58*EXP(-(B97^2)/(2*(7.5^2)))</f>
        <v/>
      </c>
      <c r="E97" s="33">
        <f>24.87*EXP(-(B97^2)/(2*(7.5^2)))</f>
        <v/>
      </c>
      <c r="F97" s="33">
        <f>33.16*EXP(-(B97^2)/(2*(7.5^2)))</f>
        <v/>
      </c>
      <c r="G97" s="33">
        <f>8.29*(EXP(-((B97+6.5)^2)/(2*(7.5^2)))+EXP(-((B97-6.5)^2)/(2*(7.5^2))))</f>
        <v/>
      </c>
      <c r="H97" s="33">
        <f>16.58*(EXP(-((B97+6.5)^2)/(2*(7.5^2)))+EXP(-((B97-6.5)^2)/(2*(7.5^2))))</f>
        <v/>
      </c>
      <c r="I97" s="33">
        <f>24.87*(EXP(-((B97+6.5)^2)/(2*(7.5^2)))+EXP(-((B97-6.5)^2)/(2*(7.5^2))))</f>
        <v/>
      </c>
      <c r="J97" s="33">
        <f>33.16*(EXP(-((B97+6.5)^2)/(2*(7.5^2)))+EXP(-((B97-6.5)^2)/(2*(7.5^2))))</f>
        <v/>
      </c>
      <c r="K97" s="33">
        <f>(0.01*(3.15^2)*(4*(1-0.3)*15/(B97^2+225))*EXP(-1.38*(B97^2)/(18.15^2)))*1000</f>
        <v/>
      </c>
      <c r="L97" s="33">
        <f>ABS(H98-H96)/2</f>
        <v/>
      </c>
    </row>
    <row r="98">
      <c r="B98" s="11" t="n">
        <v>42</v>
      </c>
      <c r="C98" s="32">
        <f>8.29*EXP(-(B98^2)/(2*(7.5^2)))</f>
        <v/>
      </c>
      <c r="D98" s="32">
        <f>16.58*EXP(-(B98^2)/(2*(7.5^2)))</f>
        <v/>
      </c>
      <c r="E98" s="32">
        <f>24.87*EXP(-(B98^2)/(2*(7.5^2)))</f>
        <v/>
      </c>
      <c r="F98" s="32">
        <f>33.16*EXP(-(B98^2)/(2*(7.5^2)))</f>
        <v/>
      </c>
      <c r="G98" s="32">
        <f>8.29*(EXP(-((B98+6.5)^2)/(2*(7.5^2)))+EXP(-((B98-6.5)^2)/(2*(7.5^2))))</f>
        <v/>
      </c>
      <c r="H98" s="32">
        <f>16.58*(EXP(-((B98+6.5)^2)/(2*(7.5^2)))+EXP(-((B98-6.5)^2)/(2*(7.5^2))))</f>
        <v/>
      </c>
      <c r="I98" s="32">
        <f>24.87*(EXP(-((B98+6.5)^2)/(2*(7.5^2)))+EXP(-((B98-6.5)^2)/(2*(7.5^2))))</f>
        <v/>
      </c>
      <c r="J98" s="32">
        <f>33.16*(EXP(-((B98+6.5)^2)/(2*(7.5^2)))+EXP(-((B98-6.5)^2)/(2*(7.5^2))))</f>
        <v/>
      </c>
      <c r="K98" s="32">
        <f>(0.01*(3.15^2)*(4*(1-0.3)*15/(B98^2+225))*EXP(-1.38*(B98^2)/(18.15^2)))*1000</f>
        <v/>
      </c>
      <c r="L98" s="32">
        <f>ABS(H99-H97)/2</f>
        <v/>
      </c>
    </row>
    <row r="99">
      <c r="B99" s="11" t="n">
        <v>43</v>
      </c>
      <c r="C99" s="33">
        <f>8.29*EXP(-(B99^2)/(2*(7.5^2)))</f>
        <v/>
      </c>
      <c r="D99" s="33">
        <f>16.58*EXP(-(B99^2)/(2*(7.5^2)))</f>
        <v/>
      </c>
      <c r="E99" s="33">
        <f>24.87*EXP(-(B99^2)/(2*(7.5^2)))</f>
        <v/>
      </c>
      <c r="F99" s="33">
        <f>33.16*EXP(-(B99^2)/(2*(7.5^2)))</f>
        <v/>
      </c>
      <c r="G99" s="33">
        <f>8.29*(EXP(-((B99+6.5)^2)/(2*(7.5^2)))+EXP(-((B99-6.5)^2)/(2*(7.5^2))))</f>
        <v/>
      </c>
      <c r="H99" s="33">
        <f>16.58*(EXP(-((B99+6.5)^2)/(2*(7.5^2)))+EXP(-((B99-6.5)^2)/(2*(7.5^2))))</f>
        <v/>
      </c>
      <c r="I99" s="33">
        <f>24.87*(EXP(-((B99+6.5)^2)/(2*(7.5^2)))+EXP(-((B99-6.5)^2)/(2*(7.5^2))))</f>
        <v/>
      </c>
      <c r="J99" s="33">
        <f>33.16*(EXP(-((B99+6.5)^2)/(2*(7.5^2)))+EXP(-((B99-6.5)^2)/(2*(7.5^2))))</f>
        <v/>
      </c>
      <c r="K99" s="33">
        <f>(0.01*(3.15^2)*(4*(1-0.3)*15/(B99^2+225))*EXP(-1.38*(B99^2)/(18.15^2)))*1000</f>
        <v/>
      </c>
      <c r="L99" s="33">
        <f>ABS(H100-H98)/2</f>
        <v/>
      </c>
    </row>
    <row r="100">
      <c r="B100" s="11" t="n">
        <v>44</v>
      </c>
      <c r="C100" s="32">
        <f>8.29*EXP(-(B100^2)/(2*(7.5^2)))</f>
        <v/>
      </c>
      <c r="D100" s="32">
        <f>16.58*EXP(-(B100^2)/(2*(7.5^2)))</f>
        <v/>
      </c>
      <c r="E100" s="32">
        <f>24.87*EXP(-(B100^2)/(2*(7.5^2)))</f>
        <v/>
      </c>
      <c r="F100" s="32">
        <f>33.16*EXP(-(B100^2)/(2*(7.5^2)))</f>
        <v/>
      </c>
      <c r="G100" s="32">
        <f>8.29*(EXP(-((B100+6.5)^2)/(2*(7.5^2)))+EXP(-((B100-6.5)^2)/(2*(7.5^2))))</f>
        <v/>
      </c>
      <c r="H100" s="32">
        <f>16.58*(EXP(-((B100+6.5)^2)/(2*(7.5^2)))+EXP(-((B100-6.5)^2)/(2*(7.5^2))))</f>
        <v/>
      </c>
      <c r="I100" s="32">
        <f>24.87*(EXP(-((B100+6.5)^2)/(2*(7.5^2)))+EXP(-((B100-6.5)^2)/(2*(7.5^2))))</f>
        <v/>
      </c>
      <c r="J100" s="32">
        <f>33.16*(EXP(-((B100+6.5)^2)/(2*(7.5^2)))+EXP(-((B100-6.5)^2)/(2*(7.5^2))))</f>
        <v/>
      </c>
      <c r="K100" s="32">
        <f>(0.01*(3.15^2)*(4*(1-0.3)*15/(B100^2+225))*EXP(-1.38*(B100^2)/(18.15^2)))*1000</f>
        <v/>
      </c>
      <c r="L100" s="32">
        <f>ABS(H101-H99)/2</f>
        <v/>
      </c>
    </row>
    <row r="101">
      <c r="B101" s="11" t="n">
        <v>45</v>
      </c>
      <c r="C101" s="33">
        <f>8.29*EXP(-(B101^2)/(2*(7.5^2)))</f>
        <v/>
      </c>
      <c r="D101" s="33">
        <f>16.58*EXP(-(B101^2)/(2*(7.5^2)))</f>
        <v/>
      </c>
      <c r="E101" s="33">
        <f>24.87*EXP(-(B101^2)/(2*(7.5^2)))</f>
        <v/>
      </c>
      <c r="F101" s="33">
        <f>33.16*EXP(-(B101^2)/(2*(7.5^2)))</f>
        <v/>
      </c>
      <c r="G101" s="33">
        <f>8.29*(EXP(-((B101+6.5)^2)/(2*(7.5^2)))+EXP(-((B101-6.5)^2)/(2*(7.5^2))))</f>
        <v/>
      </c>
      <c r="H101" s="33">
        <f>16.58*(EXP(-((B101+6.5)^2)/(2*(7.5^2)))+EXP(-((B101-6.5)^2)/(2*(7.5^2))))</f>
        <v/>
      </c>
      <c r="I101" s="33">
        <f>24.87*(EXP(-((B101+6.5)^2)/(2*(7.5^2)))+EXP(-((B101-6.5)^2)/(2*(7.5^2))))</f>
        <v/>
      </c>
      <c r="J101" s="33">
        <f>33.16*(EXP(-((B101+6.5)^2)/(2*(7.5^2)))+EXP(-((B101-6.5)^2)/(2*(7.5^2))))</f>
        <v/>
      </c>
      <c r="K101" s="33">
        <f>(0.01*(3.15^2)*(4*(1-0.3)*15/(B101^2+225))*EXP(-1.38*(B101^2)/(18.15^2)))*1000</f>
        <v/>
      </c>
      <c r="L101" s="33">
        <f>ABS(H102-H100)/2</f>
        <v/>
      </c>
    </row>
    <row r="102">
      <c r="B102" s="11" t="n">
        <v>46</v>
      </c>
      <c r="C102" s="32">
        <f>8.29*EXP(-(B102^2)/(2*(7.5^2)))</f>
        <v/>
      </c>
      <c r="D102" s="32">
        <f>16.58*EXP(-(B102^2)/(2*(7.5^2)))</f>
        <v/>
      </c>
      <c r="E102" s="32">
        <f>24.87*EXP(-(B102^2)/(2*(7.5^2)))</f>
        <v/>
      </c>
      <c r="F102" s="32">
        <f>33.16*EXP(-(B102^2)/(2*(7.5^2)))</f>
        <v/>
      </c>
      <c r="G102" s="32">
        <f>8.29*(EXP(-((B102+6.5)^2)/(2*(7.5^2)))+EXP(-((B102-6.5)^2)/(2*(7.5^2))))</f>
        <v/>
      </c>
      <c r="H102" s="32">
        <f>16.58*(EXP(-((B102+6.5)^2)/(2*(7.5^2)))+EXP(-((B102-6.5)^2)/(2*(7.5^2))))</f>
        <v/>
      </c>
      <c r="I102" s="32">
        <f>24.87*(EXP(-((B102+6.5)^2)/(2*(7.5^2)))+EXP(-((B102-6.5)^2)/(2*(7.5^2))))</f>
        <v/>
      </c>
      <c r="J102" s="32">
        <f>33.16*(EXP(-((B102+6.5)^2)/(2*(7.5^2)))+EXP(-((B102-6.5)^2)/(2*(7.5^2))))</f>
        <v/>
      </c>
      <c r="K102" s="32">
        <f>(0.01*(3.15^2)*(4*(1-0.3)*15/(B102^2+225))*EXP(-1.38*(B102^2)/(18.15^2)))*1000</f>
        <v/>
      </c>
      <c r="L102" s="32">
        <f>ABS(H103-H101)/2</f>
        <v/>
      </c>
    </row>
    <row r="103">
      <c r="B103" s="11" t="n">
        <v>47</v>
      </c>
      <c r="C103" s="33">
        <f>8.29*EXP(-(B103^2)/(2*(7.5^2)))</f>
        <v/>
      </c>
      <c r="D103" s="33">
        <f>16.58*EXP(-(B103^2)/(2*(7.5^2)))</f>
        <v/>
      </c>
      <c r="E103" s="33">
        <f>24.87*EXP(-(B103^2)/(2*(7.5^2)))</f>
        <v/>
      </c>
      <c r="F103" s="33">
        <f>33.16*EXP(-(B103^2)/(2*(7.5^2)))</f>
        <v/>
      </c>
      <c r="G103" s="33">
        <f>8.29*(EXP(-((B103+6.5)^2)/(2*(7.5^2)))+EXP(-((B103-6.5)^2)/(2*(7.5^2))))</f>
        <v/>
      </c>
      <c r="H103" s="33">
        <f>16.58*(EXP(-((B103+6.5)^2)/(2*(7.5^2)))+EXP(-((B103-6.5)^2)/(2*(7.5^2))))</f>
        <v/>
      </c>
      <c r="I103" s="33">
        <f>24.87*(EXP(-((B103+6.5)^2)/(2*(7.5^2)))+EXP(-((B103-6.5)^2)/(2*(7.5^2))))</f>
        <v/>
      </c>
      <c r="J103" s="33">
        <f>33.16*(EXP(-((B103+6.5)^2)/(2*(7.5^2)))+EXP(-((B103-6.5)^2)/(2*(7.5^2))))</f>
        <v/>
      </c>
      <c r="K103" s="33">
        <f>(0.01*(3.15^2)*(4*(1-0.3)*15/(B103^2+225))*EXP(-1.38*(B103^2)/(18.15^2)))*1000</f>
        <v/>
      </c>
      <c r="L103" s="33">
        <f>ABS(H104-H102)/2</f>
        <v/>
      </c>
    </row>
    <row r="104">
      <c r="B104" s="11" t="n">
        <v>48</v>
      </c>
      <c r="C104" s="32">
        <f>8.29*EXP(-(B104^2)/(2*(7.5^2)))</f>
        <v/>
      </c>
      <c r="D104" s="32">
        <f>16.58*EXP(-(B104^2)/(2*(7.5^2)))</f>
        <v/>
      </c>
      <c r="E104" s="32">
        <f>24.87*EXP(-(B104^2)/(2*(7.5^2)))</f>
        <v/>
      </c>
      <c r="F104" s="32">
        <f>33.16*EXP(-(B104^2)/(2*(7.5^2)))</f>
        <v/>
      </c>
      <c r="G104" s="32">
        <f>8.29*(EXP(-((B104+6.5)^2)/(2*(7.5^2)))+EXP(-((B104-6.5)^2)/(2*(7.5^2))))</f>
        <v/>
      </c>
      <c r="H104" s="32">
        <f>16.58*(EXP(-((B104+6.5)^2)/(2*(7.5^2)))+EXP(-((B104-6.5)^2)/(2*(7.5^2))))</f>
        <v/>
      </c>
      <c r="I104" s="32">
        <f>24.87*(EXP(-((B104+6.5)^2)/(2*(7.5^2)))+EXP(-((B104-6.5)^2)/(2*(7.5^2))))</f>
        <v/>
      </c>
      <c r="J104" s="32">
        <f>33.16*(EXP(-((B104+6.5)^2)/(2*(7.5^2)))+EXP(-((B104-6.5)^2)/(2*(7.5^2))))</f>
        <v/>
      </c>
      <c r="K104" s="32">
        <f>(0.01*(3.15^2)*(4*(1-0.3)*15/(B104^2+225))*EXP(-1.38*(B104^2)/(18.15^2)))*1000</f>
        <v/>
      </c>
      <c r="L104" s="32">
        <f>ABS(H105-H103)/2</f>
        <v/>
      </c>
    </row>
    <row r="105">
      <c r="B105" s="11" t="n">
        <v>49</v>
      </c>
      <c r="C105" s="33">
        <f>8.29*EXP(-(B105^2)/(2*(7.5^2)))</f>
        <v/>
      </c>
      <c r="D105" s="33">
        <f>16.58*EXP(-(B105^2)/(2*(7.5^2)))</f>
        <v/>
      </c>
      <c r="E105" s="33">
        <f>24.87*EXP(-(B105^2)/(2*(7.5^2)))</f>
        <v/>
      </c>
      <c r="F105" s="33">
        <f>33.16*EXP(-(B105^2)/(2*(7.5^2)))</f>
        <v/>
      </c>
      <c r="G105" s="33">
        <f>8.29*(EXP(-((B105+6.5)^2)/(2*(7.5^2)))+EXP(-((B105-6.5)^2)/(2*(7.5^2))))</f>
        <v/>
      </c>
      <c r="H105" s="33">
        <f>16.58*(EXP(-((B105+6.5)^2)/(2*(7.5^2)))+EXP(-((B105-6.5)^2)/(2*(7.5^2))))</f>
        <v/>
      </c>
      <c r="I105" s="33">
        <f>24.87*(EXP(-((B105+6.5)^2)/(2*(7.5^2)))+EXP(-((B105-6.5)^2)/(2*(7.5^2))))</f>
        <v/>
      </c>
      <c r="J105" s="33">
        <f>33.16*(EXP(-((B105+6.5)^2)/(2*(7.5^2)))+EXP(-((B105-6.5)^2)/(2*(7.5^2))))</f>
        <v/>
      </c>
      <c r="K105" s="33">
        <f>(0.01*(3.15^2)*(4*(1-0.3)*15/(B105^2+225))*EXP(-1.38*(B105^2)/(18.15^2)))*1000</f>
        <v/>
      </c>
      <c r="L105" s="33">
        <f>ABS(H106-H104)/2</f>
        <v/>
      </c>
    </row>
    <row r="106">
      <c r="B106" s="11" t="n">
        <v>50</v>
      </c>
      <c r="C106" s="32">
        <f>8.29*EXP(-(B106^2)/(2*(7.5^2)))</f>
        <v/>
      </c>
      <c r="D106" s="32">
        <f>16.58*EXP(-(B106^2)/(2*(7.5^2)))</f>
        <v/>
      </c>
      <c r="E106" s="32">
        <f>24.87*EXP(-(B106^2)/(2*(7.5^2)))</f>
        <v/>
      </c>
      <c r="F106" s="32">
        <f>33.16*EXP(-(B106^2)/(2*(7.5^2)))</f>
        <v/>
      </c>
      <c r="G106" s="32">
        <f>8.29*(EXP(-((B106+6.5)^2)/(2*(7.5^2)))+EXP(-((B106-6.5)^2)/(2*(7.5^2))))</f>
        <v/>
      </c>
      <c r="H106" s="32">
        <f>16.58*(EXP(-((B106+6.5)^2)/(2*(7.5^2)))+EXP(-((B106-6.5)^2)/(2*(7.5^2))))</f>
        <v/>
      </c>
      <c r="I106" s="32">
        <f>24.87*(EXP(-((B106+6.5)^2)/(2*(7.5^2)))+EXP(-((B106-6.5)^2)/(2*(7.5^2))))</f>
        <v/>
      </c>
      <c r="J106" s="32">
        <f>33.16*(EXP(-((B106+6.5)^2)/(2*(7.5^2)))+EXP(-((B106-6.5)^2)/(2*(7.5^2))))</f>
        <v/>
      </c>
      <c r="K106" s="32">
        <f>(0.01*(3.15^2)*(4*(1-0.3)*15/(B106^2+225))*EXP(-1.38*(B106^2)/(18.15^2)))*1000</f>
        <v/>
      </c>
      <c r="L106" s="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6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5" customWidth="1" min="2" max="2"/>
    <col width="39" customWidth="1" min="3" max="3"/>
    <col width="40" customWidth="1" min="4" max="4"/>
    <col width="40" customWidth="1" min="5" max="5"/>
    <col width="40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  <col width="31" customWidth="1" min="12" max="12"/>
  </cols>
  <sheetData>
    <row r="1"/>
    <row r="2">
      <c r="B2" s="1" t="inlineStr">
        <is>
          <t>MẶT CẮT LÚN NGANG ĐOẠN S11–S12 QUA BÙN SÉT (z0 = 18m, K = 0.6, i = 10.8m, d = 13m)</t>
        </is>
      </c>
    </row>
    <row r="3">
      <c r="B3" s="2" t="inlineStr">
        <is>
          <t>Phễu lún mở rộng do ảnh hưởng của tầng bùn sét mềm hữu cơ dày 12.7m</t>
        </is>
      </c>
    </row>
    <row r="4"/>
    <row r="5">
      <c r="B5" s="10" t="inlineStr">
        <is>
          <t>Khoảng cách x (m)</t>
        </is>
      </c>
      <c r="C5" s="10" t="inlineStr">
        <is>
          <t>S_Peck Đơn VL=0.5% (mm)</t>
        </is>
      </c>
      <c r="D5" s="10" t="inlineStr">
        <is>
          <t>S_Peck Đơn VL=1.0% (mm)</t>
        </is>
      </c>
      <c r="E5" s="10" t="inlineStr">
        <is>
          <t>S_Peck Đơn VL=1.5% (mm)</t>
        </is>
      </c>
      <c r="F5" s="10" t="inlineStr">
        <is>
          <t>S_Peck Đơn VL=2.0% (mm)</t>
        </is>
      </c>
      <c r="G5" s="10" t="inlineStr">
        <is>
          <t>S_Peck ĐÔI VL=0.5% (mm)</t>
        </is>
      </c>
      <c r="H5" s="10" t="inlineStr">
        <is>
          <t>S_Peck ĐÔI VL=1.0% (mm)</t>
        </is>
      </c>
      <c r="I5" s="10" t="inlineStr">
        <is>
          <t>S_Peck ĐÔI VL=1.5% (mm)</t>
        </is>
      </c>
      <c r="J5" s="10" t="inlineStr">
        <is>
          <t>S_Peck ĐÔI VL=2.0% (mm)</t>
        </is>
      </c>
      <c r="K5" s="10" t="inlineStr">
        <is>
          <t>S_LP Đơn VL=1.0% (mm)</t>
        </is>
      </c>
      <c r="L5" s="10" t="inlineStr">
        <is>
          <t>Độ dốc θ Đôi VL=1.0% (10^-3)</t>
        </is>
      </c>
    </row>
    <row r="6">
      <c r="B6" s="11" t="n">
        <v>-50</v>
      </c>
      <c r="C6" s="32">
        <f>5.76*EXP(-(B6^2)/(2*(10.8^2)))</f>
        <v/>
      </c>
      <c r="D6" s="32">
        <f>11.51*EXP(-(B6^2)/(2*(10.8^2)))</f>
        <v/>
      </c>
      <c r="E6" s="32">
        <f>17.27*EXP(-(B6^2)/(2*(10.8^2)))</f>
        <v/>
      </c>
      <c r="F6" s="32">
        <f>23.03*EXP(-(B6^2)/(2*(10.8^2)))</f>
        <v/>
      </c>
      <c r="G6" s="32">
        <f>5.76*(EXP(-((B6+6.5)^2)/(2*(10.8^2)))+EXP(-((B6-6.5)^2)/(2*(10.8^2))))</f>
        <v/>
      </c>
      <c r="H6" s="32">
        <f>11.51*(EXP(-((B6+6.5)^2)/(2*(10.8^2)))+EXP(-((B6-6.5)^2)/(2*(10.8^2))))</f>
        <v/>
      </c>
      <c r="I6" s="32">
        <f>17.27*(EXP(-((B6+6.5)^2)/(2*(10.8^2)))+EXP(-((B6-6.5)^2)/(2*(10.8^2))))</f>
        <v/>
      </c>
      <c r="J6" s="32">
        <f>23.03*(EXP(-((B6+6.5)^2)/(2*(10.8^2)))+EXP(-((B6-6.5)^2)/(2*(10.8^2))))</f>
        <v/>
      </c>
      <c r="K6" s="32">
        <f>(0.01*(3.15^2)*(4*(1-0.35)*18/(B6^2+324))*EXP(-1.38*(B6^2)/(21.15^2)))*1000</f>
        <v/>
      </c>
      <c r="L6" s="32" t="n">
        <v>0</v>
      </c>
    </row>
    <row r="7">
      <c r="B7" s="11" t="n">
        <v>-49</v>
      </c>
      <c r="C7" s="33">
        <f>5.76*EXP(-(B7^2)/(2*(10.8^2)))</f>
        <v/>
      </c>
      <c r="D7" s="33">
        <f>11.51*EXP(-(B7^2)/(2*(10.8^2)))</f>
        <v/>
      </c>
      <c r="E7" s="33">
        <f>17.27*EXP(-(B7^2)/(2*(10.8^2)))</f>
        <v/>
      </c>
      <c r="F7" s="33">
        <f>23.03*EXP(-(B7^2)/(2*(10.8^2)))</f>
        <v/>
      </c>
      <c r="G7" s="33">
        <f>5.76*(EXP(-((B7+6.5)^2)/(2*(10.8^2)))+EXP(-((B7-6.5)^2)/(2*(10.8^2))))</f>
        <v/>
      </c>
      <c r="H7" s="33">
        <f>11.51*(EXP(-((B7+6.5)^2)/(2*(10.8^2)))+EXP(-((B7-6.5)^2)/(2*(10.8^2))))</f>
        <v/>
      </c>
      <c r="I7" s="33">
        <f>17.27*(EXP(-((B7+6.5)^2)/(2*(10.8^2)))+EXP(-((B7-6.5)^2)/(2*(10.8^2))))</f>
        <v/>
      </c>
      <c r="J7" s="33">
        <f>23.03*(EXP(-((B7+6.5)^2)/(2*(10.8^2)))+EXP(-((B7-6.5)^2)/(2*(10.8^2))))</f>
        <v/>
      </c>
      <c r="K7" s="33">
        <f>(0.01*(3.15^2)*(4*(1-0.35)*18/(B7^2+324))*EXP(-1.38*(B7^2)/(21.15^2)))*1000</f>
        <v/>
      </c>
      <c r="L7" s="33">
        <f>ABS(H8-H6)/2</f>
        <v/>
      </c>
    </row>
    <row r="8">
      <c r="B8" s="11" t="n">
        <v>-48</v>
      </c>
      <c r="C8" s="32">
        <f>5.76*EXP(-(B8^2)/(2*(10.8^2)))</f>
        <v/>
      </c>
      <c r="D8" s="32">
        <f>11.51*EXP(-(B8^2)/(2*(10.8^2)))</f>
        <v/>
      </c>
      <c r="E8" s="32">
        <f>17.27*EXP(-(B8^2)/(2*(10.8^2)))</f>
        <v/>
      </c>
      <c r="F8" s="32">
        <f>23.03*EXP(-(B8^2)/(2*(10.8^2)))</f>
        <v/>
      </c>
      <c r="G8" s="32">
        <f>5.76*(EXP(-((B8+6.5)^2)/(2*(10.8^2)))+EXP(-((B8-6.5)^2)/(2*(10.8^2))))</f>
        <v/>
      </c>
      <c r="H8" s="32">
        <f>11.51*(EXP(-((B8+6.5)^2)/(2*(10.8^2)))+EXP(-((B8-6.5)^2)/(2*(10.8^2))))</f>
        <v/>
      </c>
      <c r="I8" s="32">
        <f>17.27*(EXP(-((B8+6.5)^2)/(2*(10.8^2)))+EXP(-((B8-6.5)^2)/(2*(10.8^2))))</f>
        <v/>
      </c>
      <c r="J8" s="32">
        <f>23.03*(EXP(-((B8+6.5)^2)/(2*(10.8^2)))+EXP(-((B8-6.5)^2)/(2*(10.8^2))))</f>
        <v/>
      </c>
      <c r="K8" s="32">
        <f>(0.01*(3.15^2)*(4*(1-0.35)*18/(B8^2+324))*EXP(-1.38*(B8^2)/(21.15^2)))*1000</f>
        <v/>
      </c>
      <c r="L8" s="32">
        <f>ABS(H9-H7)/2</f>
        <v/>
      </c>
    </row>
    <row r="9">
      <c r="B9" s="11" t="n">
        <v>-47</v>
      </c>
      <c r="C9" s="33">
        <f>5.76*EXP(-(B9^2)/(2*(10.8^2)))</f>
        <v/>
      </c>
      <c r="D9" s="33">
        <f>11.51*EXP(-(B9^2)/(2*(10.8^2)))</f>
        <v/>
      </c>
      <c r="E9" s="33">
        <f>17.27*EXP(-(B9^2)/(2*(10.8^2)))</f>
        <v/>
      </c>
      <c r="F9" s="33">
        <f>23.03*EXP(-(B9^2)/(2*(10.8^2)))</f>
        <v/>
      </c>
      <c r="G9" s="33">
        <f>5.76*(EXP(-((B9+6.5)^2)/(2*(10.8^2)))+EXP(-((B9-6.5)^2)/(2*(10.8^2))))</f>
        <v/>
      </c>
      <c r="H9" s="33">
        <f>11.51*(EXP(-((B9+6.5)^2)/(2*(10.8^2)))+EXP(-((B9-6.5)^2)/(2*(10.8^2))))</f>
        <v/>
      </c>
      <c r="I9" s="33">
        <f>17.27*(EXP(-((B9+6.5)^2)/(2*(10.8^2)))+EXP(-((B9-6.5)^2)/(2*(10.8^2))))</f>
        <v/>
      </c>
      <c r="J9" s="33">
        <f>23.03*(EXP(-((B9+6.5)^2)/(2*(10.8^2)))+EXP(-((B9-6.5)^2)/(2*(10.8^2))))</f>
        <v/>
      </c>
      <c r="K9" s="33">
        <f>(0.01*(3.15^2)*(4*(1-0.35)*18/(B9^2+324))*EXP(-1.38*(B9^2)/(21.15^2)))*1000</f>
        <v/>
      </c>
      <c r="L9" s="33">
        <f>ABS(H10-H8)/2</f>
        <v/>
      </c>
    </row>
    <row r="10">
      <c r="B10" s="11" t="n">
        <v>-46</v>
      </c>
      <c r="C10" s="32">
        <f>5.76*EXP(-(B10^2)/(2*(10.8^2)))</f>
        <v/>
      </c>
      <c r="D10" s="32">
        <f>11.51*EXP(-(B10^2)/(2*(10.8^2)))</f>
        <v/>
      </c>
      <c r="E10" s="32">
        <f>17.27*EXP(-(B10^2)/(2*(10.8^2)))</f>
        <v/>
      </c>
      <c r="F10" s="32">
        <f>23.03*EXP(-(B10^2)/(2*(10.8^2)))</f>
        <v/>
      </c>
      <c r="G10" s="32">
        <f>5.76*(EXP(-((B10+6.5)^2)/(2*(10.8^2)))+EXP(-((B10-6.5)^2)/(2*(10.8^2))))</f>
        <v/>
      </c>
      <c r="H10" s="32">
        <f>11.51*(EXP(-((B10+6.5)^2)/(2*(10.8^2)))+EXP(-((B10-6.5)^2)/(2*(10.8^2))))</f>
        <v/>
      </c>
      <c r="I10" s="32">
        <f>17.27*(EXP(-((B10+6.5)^2)/(2*(10.8^2)))+EXP(-((B10-6.5)^2)/(2*(10.8^2))))</f>
        <v/>
      </c>
      <c r="J10" s="32">
        <f>23.03*(EXP(-((B10+6.5)^2)/(2*(10.8^2)))+EXP(-((B10-6.5)^2)/(2*(10.8^2))))</f>
        <v/>
      </c>
      <c r="K10" s="32">
        <f>(0.01*(3.15^2)*(4*(1-0.35)*18/(B10^2+324))*EXP(-1.38*(B10^2)/(21.15^2)))*1000</f>
        <v/>
      </c>
      <c r="L10" s="32">
        <f>ABS(H11-H9)/2</f>
        <v/>
      </c>
    </row>
    <row r="11">
      <c r="B11" s="11" t="n">
        <v>-45</v>
      </c>
      <c r="C11" s="33">
        <f>5.76*EXP(-(B11^2)/(2*(10.8^2)))</f>
        <v/>
      </c>
      <c r="D11" s="33">
        <f>11.51*EXP(-(B11^2)/(2*(10.8^2)))</f>
        <v/>
      </c>
      <c r="E11" s="33">
        <f>17.27*EXP(-(B11^2)/(2*(10.8^2)))</f>
        <v/>
      </c>
      <c r="F11" s="33">
        <f>23.03*EXP(-(B11^2)/(2*(10.8^2)))</f>
        <v/>
      </c>
      <c r="G11" s="33">
        <f>5.76*(EXP(-((B11+6.5)^2)/(2*(10.8^2)))+EXP(-((B11-6.5)^2)/(2*(10.8^2))))</f>
        <v/>
      </c>
      <c r="H11" s="33">
        <f>11.51*(EXP(-((B11+6.5)^2)/(2*(10.8^2)))+EXP(-((B11-6.5)^2)/(2*(10.8^2))))</f>
        <v/>
      </c>
      <c r="I11" s="33">
        <f>17.27*(EXP(-((B11+6.5)^2)/(2*(10.8^2)))+EXP(-((B11-6.5)^2)/(2*(10.8^2))))</f>
        <v/>
      </c>
      <c r="J11" s="33">
        <f>23.03*(EXP(-((B11+6.5)^2)/(2*(10.8^2)))+EXP(-((B11-6.5)^2)/(2*(10.8^2))))</f>
        <v/>
      </c>
      <c r="K11" s="33">
        <f>(0.01*(3.15^2)*(4*(1-0.35)*18/(B11^2+324))*EXP(-1.38*(B11^2)/(21.15^2)))*1000</f>
        <v/>
      </c>
      <c r="L11" s="33">
        <f>ABS(H12-H10)/2</f>
        <v/>
      </c>
    </row>
    <row r="12">
      <c r="B12" s="11" t="n">
        <v>-44</v>
      </c>
      <c r="C12" s="32">
        <f>5.76*EXP(-(B12^2)/(2*(10.8^2)))</f>
        <v/>
      </c>
      <c r="D12" s="32">
        <f>11.51*EXP(-(B12^2)/(2*(10.8^2)))</f>
        <v/>
      </c>
      <c r="E12" s="32">
        <f>17.27*EXP(-(B12^2)/(2*(10.8^2)))</f>
        <v/>
      </c>
      <c r="F12" s="32">
        <f>23.03*EXP(-(B12^2)/(2*(10.8^2)))</f>
        <v/>
      </c>
      <c r="G12" s="32">
        <f>5.76*(EXP(-((B12+6.5)^2)/(2*(10.8^2)))+EXP(-((B12-6.5)^2)/(2*(10.8^2))))</f>
        <v/>
      </c>
      <c r="H12" s="32">
        <f>11.51*(EXP(-((B12+6.5)^2)/(2*(10.8^2)))+EXP(-((B12-6.5)^2)/(2*(10.8^2))))</f>
        <v/>
      </c>
      <c r="I12" s="32">
        <f>17.27*(EXP(-((B12+6.5)^2)/(2*(10.8^2)))+EXP(-((B12-6.5)^2)/(2*(10.8^2))))</f>
        <v/>
      </c>
      <c r="J12" s="32">
        <f>23.03*(EXP(-((B12+6.5)^2)/(2*(10.8^2)))+EXP(-((B12-6.5)^2)/(2*(10.8^2))))</f>
        <v/>
      </c>
      <c r="K12" s="32">
        <f>(0.01*(3.15^2)*(4*(1-0.35)*18/(B12^2+324))*EXP(-1.38*(B12^2)/(21.15^2)))*1000</f>
        <v/>
      </c>
      <c r="L12" s="32">
        <f>ABS(H13-H11)/2</f>
        <v/>
      </c>
    </row>
    <row r="13">
      <c r="B13" s="11" t="n">
        <v>-43</v>
      </c>
      <c r="C13" s="33">
        <f>5.76*EXP(-(B13^2)/(2*(10.8^2)))</f>
        <v/>
      </c>
      <c r="D13" s="33">
        <f>11.51*EXP(-(B13^2)/(2*(10.8^2)))</f>
        <v/>
      </c>
      <c r="E13" s="33">
        <f>17.27*EXP(-(B13^2)/(2*(10.8^2)))</f>
        <v/>
      </c>
      <c r="F13" s="33">
        <f>23.03*EXP(-(B13^2)/(2*(10.8^2)))</f>
        <v/>
      </c>
      <c r="G13" s="33">
        <f>5.76*(EXP(-((B13+6.5)^2)/(2*(10.8^2)))+EXP(-((B13-6.5)^2)/(2*(10.8^2))))</f>
        <v/>
      </c>
      <c r="H13" s="33">
        <f>11.51*(EXP(-((B13+6.5)^2)/(2*(10.8^2)))+EXP(-((B13-6.5)^2)/(2*(10.8^2))))</f>
        <v/>
      </c>
      <c r="I13" s="33">
        <f>17.27*(EXP(-((B13+6.5)^2)/(2*(10.8^2)))+EXP(-((B13-6.5)^2)/(2*(10.8^2))))</f>
        <v/>
      </c>
      <c r="J13" s="33">
        <f>23.03*(EXP(-((B13+6.5)^2)/(2*(10.8^2)))+EXP(-((B13-6.5)^2)/(2*(10.8^2))))</f>
        <v/>
      </c>
      <c r="K13" s="33">
        <f>(0.01*(3.15^2)*(4*(1-0.35)*18/(B13^2+324))*EXP(-1.38*(B13^2)/(21.15^2)))*1000</f>
        <v/>
      </c>
      <c r="L13" s="33">
        <f>ABS(H14-H12)/2</f>
        <v/>
      </c>
    </row>
    <row r="14">
      <c r="B14" s="11" t="n">
        <v>-42</v>
      </c>
      <c r="C14" s="32">
        <f>5.76*EXP(-(B14^2)/(2*(10.8^2)))</f>
        <v/>
      </c>
      <c r="D14" s="32">
        <f>11.51*EXP(-(B14^2)/(2*(10.8^2)))</f>
        <v/>
      </c>
      <c r="E14" s="32">
        <f>17.27*EXP(-(B14^2)/(2*(10.8^2)))</f>
        <v/>
      </c>
      <c r="F14" s="32">
        <f>23.03*EXP(-(B14^2)/(2*(10.8^2)))</f>
        <v/>
      </c>
      <c r="G14" s="32">
        <f>5.76*(EXP(-((B14+6.5)^2)/(2*(10.8^2)))+EXP(-((B14-6.5)^2)/(2*(10.8^2))))</f>
        <v/>
      </c>
      <c r="H14" s="32">
        <f>11.51*(EXP(-((B14+6.5)^2)/(2*(10.8^2)))+EXP(-((B14-6.5)^2)/(2*(10.8^2))))</f>
        <v/>
      </c>
      <c r="I14" s="32">
        <f>17.27*(EXP(-((B14+6.5)^2)/(2*(10.8^2)))+EXP(-((B14-6.5)^2)/(2*(10.8^2))))</f>
        <v/>
      </c>
      <c r="J14" s="32">
        <f>23.03*(EXP(-((B14+6.5)^2)/(2*(10.8^2)))+EXP(-((B14-6.5)^2)/(2*(10.8^2))))</f>
        <v/>
      </c>
      <c r="K14" s="32">
        <f>(0.01*(3.15^2)*(4*(1-0.35)*18/(B14^2+324))*EXP(-1.38*(B14^2)/(21.15^2)))*1000</f>
        <v/>
      </c>
      <c r="L14" s="32">
        <f>ABS(H15-H13)/2</f>
        <v/>
      </c>
    </row>
    <row r="15">
      <c r="B15" s="11" t="n">
        <v>-41</v>
      </c>
      <c r="C15" s="33">
        <f>5.76*EXP(-(B15^2)/(2*(10.8^2)))</f>
        <v/>
      </c>
      <c r="D15" s="33">
        <f>11.51*EXP(-(B15^2)/(2*(10.8^2)))</f>
        <v/>
      </c>
      <c r="E15" s="33">
        <f>17.27*EXP(-(B15^2)/(2*(10.8^2)))</f>
        <v/>
      </c>
      <c r="F15" s="33">
        <f>23.03*EXP(-(B15^2)/(2*(10.8^2)))</f>
        <v/>
      </c>
      <c r="G15" s="33">
        <f>5.76*(EXP(-((B15+6.5)^2)/(2*(10.8^2)))+EXP(-((B15-6.5)^2)/(2*(10.8^2))))</f>
        <v/>
      </c>
      <c r="H15" s="33">
        <f>11.51*(EXP(-((B15+6.5)^2)/(2*(10.8^2)))+EXP(-((B15-6.5)^2)/(2*(10.8^2))))</f>
        <v/>
      </c>
      <c r="I15" s="33">
        <f>17.27*(EXP(-((B15+6.5)^2)/(2*(10.8^2)))+EXP(-((B15-6.5)^2)/(2*(10.8^2))))</f>
        <v/>
      </c>
      <c r="J15" s="33">
        <f>23.03*(EXP(-((B15+6.5)^2)/(2*(10.8^2)))+EXP(-((B15-6.5)^2)/(2*(10.8^2))))</f>
        <v/>
      </c>
      <c r="K15" s="33">
        <f>(0.01*(3.15^2)*(4*(1-0.35)*18/(B15^2+324))*EXP(-1.38*(B15^2)/(21.15^2)))*1000</f>
        <v/>
      </c>
      <c r="L15" s="33">
        <f>ABS(H16-H14)/2</f>
        <v/>
      </c>
    </row>
    <row r="16">
      <c r="B16" s="11" t="n">
        <v>-40</v>
      </c>
      <c r="C16" s="32">
        <f>5.76*EXP(-(B16^2)/(2*(10.8^2)))</f>
        <v/>
      </c>
      <c r="D16" s="32">
        <f>11.51*EXP(-(B16^2)/(2*(10.8^2)))</f>
        <v/>
      </c>
      <c r="E16" s="32">
        <f>17.27*EXP(-(B16^2)/(2*(10.8^2)))</f>
        <v/>
      </c>
      <c r="F16" s="32">
        <f>23.03*EXP(-(B16^2)/(2*(10.8^2)))</f>
        <v/>
      </c>
      <c r="G16" s="32">
        <f>5.76*(EXP(-((B16+6.5)^2)/(2*(10.8^2)))+EXP(-((B16-6.5)^2)/(2*(10.8^2))))</f>
        <v/>
      </c>
      <c r="H16" s="32">
        <f>11.51*(EXP(-((B16+6.5)^2)/(2*(10.8^2)))+EXP(-((B16-6.5)^2)/(2*(10.8^2))))</f>
        <v/>
      </c>
      <c r="I16" s="32">
        <f>17.27*(EXP(-((B16+6.5)^2)/(2*(10.8^2)))+EXP(-((B16-6.5)^2)/(2*(10.8^2))))</f>
        <v/>
      </c>
      <c r="J16" s="32">
        <f>23.03*(EXP(-((B16+6.5)^2)/(2*(10.8^2)))+EXP(-((B16-6.5)^2)/(2*(10.8^2))))</f>
        <v/>
      </c>
      <c r="K16" s="32">
        <f>(0.01*(3.15^2)*(4*(1-0.35)*18/(B16^2+324))*EXP(-1.38*(B16^2)/(21.15^2)))*1000</f>
        <v/>
      </c>
      <c r="L16" s="32">
        <f>ABS(H17-H15)/2</f>
        <v/>
      </c>
    </row>
    <row r="17">
      <c r="B17" s="11" t="n">
        <v>-39</v>
      </c>
      <c r="C17" s="33">
        <f>5.76*EXP(-(B17^2)/(2*(10.8^2)))</f>
        <v/>
      </c>
      <c r="D17" s="33">
        <f>11.51*EXP(-(B17^2)/(2*(10.8^2)))</f>
        <v/>
      </c>
      <c r="E17" s="33">
        <f>17.27*EXP(-(B17^2)/(2*(10.8^2)))</f>
        <v/>
      </c>
      <c r="F17" s="33">
        <f>23.03*EXP(-(B17^2)/(2*(10.8^2)))</f>
        <v/>
      </c>
      <c r="G17" s="33">
        <f>5.76*(EXP(-((B17+6.5)^2)/(2*(10.8^2)))+EXP(-((B17-6.5)^2)/(2*(10.8^2))))</f>
        <v/>
      </c>
      <c r="H17" s="33">
        <f>11.51*(EXP(-((B17+6.5)^2)/(2*(10.8^2)))+EXP(-((B17-6.5)^2)/(2*(10.8^2))))</f>
        <v/>
      </c>
      <c r="I17" s="33">
        <f>17.27*(EXP(-((B17+6.5)^2)/(2*(10.8^2)))+EXP(-((B17-6.5)^2)/(2*(10.8^2))))</f>
        <v/>
      </c>
      <c r="J17" s="33">
        <f>23.03*(EXP(-((B17+6.5)^2)/(2*(10.8^2)))+EXP(-((B17-6.5)^2)/(2*(10.8^2))))</f>
        <v/>
      </c>
      <c r="K17" s="33">
        <f>(0.01*(3.15^2)*(4*(1-0.35)*18/(B17^2+324))*EXP(-1.38*(B17^2)/(21.15^2)))*1000</f>
        <v/>
      </c>
      <c r="L17" s="33">
        <f>ABS(H18-H16)/2</f>
        <v/>
      </c>
    </row>
    <row r="18">
      <c r="B18" s="11" t="n">
        <v>-38</v>
      </c>
      <c r="C18" s="32">
        <f>5.76*EXP(-(B18^2)/(2*(10.8^2)))</f>
        <v/>
      </c>
      <c r="D18" s="32">
        <f>11.51*EXP(-(B18^2)/(2*(10.8^2)))</f>
        <v/>
      </c>
      <c r="E18" s="32">
        <f>17.27*EXP(-(B18^2)/(2*(10.8^2)))</f>
        <v/>
      </c>
      <c r="F18" s="32">
        <f>23.03*EXP(-(B18^2)/(2*(10.8^2)))</f>
        <v/>
      </c>
      <c r="G18" s="32">
        <f>5.76*(EXP(-((B18+6.5)^2)/(2*(10.8^2)))+EXP(-((B18-6.5)^2)/(2*(10.8^2))))</f>
        <v/>
      </c>
      <c r="H18" s="32">
        <f>11.51*(EXP(-((B18+6.5)^2)/(2*(10.8^2)))+EXP(-((B18-6.5)^2)/(2*(10.8^2))))</f>
        <v/>
      </c>
      <c r="I18" s="32">
        <f>17.27*(EXP(-((B18+6.5)^2)/(2*(10.8^2)))+EXP(-((B18-6.5)^2)/(2*(10.8^2))))</f>
        <v/>
      </c>
      <c r="J18" s="32">
        <f>23.03*(EXP(-((B18+6.5)^2)/(2*(10.8^2)))+EXP(-((B18-6.5)^2)/(2*(10.8^2))))</f>
        <v/>
      </c>
      <c r="K18" s="32">
        <f>(0.01*(3.15^2)*(4*(1-0.35)*18/(B18^2+324))*EXP(-1.38*(B18^2)/(21.15^2)))*1000</f>
        <v/>
      </c>
      <c r="L18" s="32">
        <f>ABS(H19-H17)/2</f>
        <v/>
      </c>
    </row>
    <row r="19">
      <c r="B19" s="11" t="n">
        <v>-37</v>
      </c>
      <c r="C19" s="33">
        <f>5.76*EXP(-(B19^2)/(2*(10.8^2)))</f>
        <v/>
      </c>
      <c r="D19" s="33">
        <f>11.51*EXP(-(B19^2)/(2*(10.8^2)))</f>
        <v/>
      </c>
      <c r="E19" s="33">
        <f>17.27*EXP(-(B19^2)/(2*(10.8^2)))</f>
        <v/>
      </c>
      <c r="F19" s="33">
        <f>23.03*EXP(-(B19^2)/(2*(10.8^2)))</f>
        <v/>
      </c>
      <c r="G19" s="33">
        <f>5.76*(EXP(-((B19+6.5)^2)/(2*(10.8^2)))+EXP(-((B19-6.5)^2)/(2*(10.8^2))))</f>
        <v/>
      </c>
      <c r="H19" s="33">
        <f>11.51*(EXP(-((B19+6.5)^2)/(2*(10.8^2)))+EXP(-((B19-6.5)^2)/(2*(10.8^2))))</f>
        <v/>
      </c>
      <c r="I19" s="33">
        <f>17.27*(EXP(-((B19+6.5)^2)/(2*(10.8^2)))+EXP(-((B19-6.5)^2)/(2*(10.8^2))))</f>
        <v/>
      </c>
      <c r="J19" s="33">
        <f>23.03*(EXP(-((B19+6.5)^2)/(2*(10.8^2)))+EXP(-((B19-6.5)^2)/(2*(10.8^2))))</f>
        <v/>
      </c>
      <c r="K19" s="33">
        <f>(0.01*(3.15^2)*(4*(1-0.35)*18/(B19^2+324))*EXP(-1.38*(B19^2)/(21.15^2)))*1000</f>
        <v/>
      </c>
      <c r="L19" s="33">
        <f>ABS(H20-H18)/2</f>
        <v/>
      </c>
    </row>
    <row r="20">
      <c r="B20" s="11" t="n">
        <v>-36</v>
      </c>
      <c r="C20" s="32">
        <f>5.76*EXP(-(B20^2)/(2*(10.8^2)))</f>
        <v/>
      </c>
      <c r="D20" s="32">
        <f>11.51*EXP(-(B20^2)/(2*(10.8^2)))</f>
        <v/>
      </c>
      <c r="E20" s="32">
        <f>17.27*EXP(-(B20^2)/(2*(10.8^2)))</f>
        <v/>
      </c>
      <c r="F20" s="32">
        <f>23.03*EXP(-(B20^2)/(2*(10.8^2)))</f>
        <v/>
      </c>
      <c r="G20" s="32">
        <f>5.76*(EXP(-((B20+6.5)^2)/(2*(10.8^2)))+EXP(-((B20-6.5)^2)/(2*(10.8^2))))</f>
        <v/>
      </c>
      <c r="H20" s="32">
        <f>11.51*(EXP(-((B20+6.5)^2)/(2*(10.8^2)))+EXP(-((B20-6.5)^2)/(2*(10.8^2))))</f>
        <v/>
      </c>
      <c r="I20" s="32">
        <f>17.27*(EXP(-((B20+6.5)^2)/(2*(10.8^2)))+EXP(-((B20-6.5)^2)/(2*(10.8^2))))</f>
        <v/>
      </c>
      <c r="J20" s="32">
        <f>23.03*(EXP(-((B20+6.5)^2)/(2*(10.8^2)))+EXP(-((B20-6.5)^2)/(2*(10.8^2))))</f>
        <v/>
      </c>
      <c r="K20" s="32">
        <f>(0.01*(3.15^2)*(4*(1-0.35)*18/(B20^2+324))*EXP(-1.38*(B20^2)/(21.15^2)))*1000</f>
        <v/>
      </c>
      <c r="L20" s="32">
        <f>ABS(H21-H19)/2</f>
        <v/>
      </c>
    </row>
    <row r="21">
      <c r="B21" s="11" t="n">
        <v>-35</v>
      </c>
      <c r="C21" s="33">
        <f>5.76*EXP(-(B21^2)/(2*(10.8^2)))</f>
        <v/>
      </c>
      <c r="D21" s="33">
        <f>11.51*EXP(-(B21^2)/(2*(10.8^2)))</f>
        <v/>
      </c>
      <c r="E21" s="33">
        <f>17.27*EXP(-(B21^2)/(2*(10.8^2)))</f>
        <v/>
      </c>
      <c r="F21" s="33">
        <f>23.03*EXP(-(B21^2)/(2*(10.8^2)))</f>
        <v/>
      </c>
      <c r="G21" s="33">
        <f>5.76*(EXP(-((B21+6.5)^2)/(2*(10.8^2)))+EXP(-((B21-6.5)^2)/(2*(10.8^2))))</f>
        <v/>
      </c>
      <c r="H21" s="33">
        <f>11.51*(EXP(-((B21+6.5)^2)/(2*(10.8^2)))+EXP(-((B21-6.5)^2)/(2*(10.8^2))))</f>
        <v/>
      </c>
      <c r="I21" s="33">
        <f>17.27*(EXP(-((B21+6.5)^2)/(2*(10.8^2)))+EXP(-((B21-6.5)^2)/(2*(10.8^2))))</f>
        <v/>
      </c>
      <c r="J21" s="33">
        <f>23.03*(EXP(-((B21+6.5)^2)/(2*(10.8^2)))+EXP(-((B21-6.5)^2)/(2*(10.8^2))))</f>
        <v/>
      </c>
      <c r="K21" s="33">
        <f>(0.01*(3.15^2)*(4*(1-0.35)*18/(B21^2+324))*EXP(-1.38*(B21^2)/(21.15^2)))*1000</f>
        <v/>
      </c>
      <c r="L21" s="33">
        <f>ABS(H22-H20)/2</f>
        <v/>
      </c>
    </row>
    <row r="22">
      <c r="B22" s="11" t="n">
        <v>-34</v>
      </c>
      <c r="C22" s="32">
        <f>5.76*EXP(-(B22^2)/(2*(10.8^2)))</f>
        <v/>
      </c>
      <c r="D22" s="32">
        <f>11.51*EXP(-(B22^2)/(2*(10.8^2)))</f>
        <v/>
      </c>
      <c r="E22" s="32">
        <f>17.27*EXP(-(B22^2)/(2*(10.8^2)))</f>
        <v/>
      </c>
      <c r="F22" s="32">
        <f>23.03*EXP(-(B22^2)/(2*(10.8^2)))</f>
        <v/>
      </c>
      <c r="G22" s="32">
        <f>5.76*(EXP(-((B22+6.5)^2)/(2*(10.8^2)))+EXP(-((B22-6.5)^2)/(2*(10.8^2))))</f>
        <v/>
      </c>
      <c r="H22" s="32">
        <f>11.51*(EXP(-((B22+6.5)^2)/(2*(10.8^2)))+EXP(-((B22-6.5)^2)/(2*(10.8^2))))</f>
        <v/>
      </c>
      <c r="I22" s="32">
        <f>17.27*(EXP(-((B22+6.5)^2)/(2*(10.8^2)))+EXP(-((B22-6.5)^2)/(2*(10.8^2))))</f>
        <v/>
      </c>
      <c r="J22" s="32">
        <f>23.03*(EXP(-((B22+6.5)^2)/(2*(10.8^2)))+EXP(-((B22-6.5)^2)/(2*(10.8^2))))</f>
        <v/>
      </c>
      <c r="K22" s="32">
        <f>(0.01*(3.15^2)*(4*(1-0.35)*18/(B22^2+324))*EXP(-1.38*(B22^2)/(21.15^2)))*1000</f>
        <v/>
      </c>
      <c r="L22" s="32">
        <f>ABS(H23-H21)/2</f>
        <v/>
      </c>
    </row>
    <row r="23">
      <c r="B23" s="11" t="n">
        <v>-33</v>
      </c>
      <c r="C23" s="33">
        <f>5.76*EXP(-(B23^2)/(2*(10.8^2)))</f>
        <v/>
      </c>
      <c r="D23" s="33">
        <f>11.51*EXP(-(B23^2)/(2*(10.8^2)))</f>
        <v/>
      </c>
      <c r="E23" s="33">
        <f>17.27*EXP(-(B23^2)/(2*(10.8^2)))</f>
        <v/>
      </c>
      <c r="F23" s="33">
        <f>23.03*EXP(-(B23^2)/(2*(10.8^2)))</f>
        <v/>
      </c>
      <c r="G23" s="33">
        <f>5.76*(EXP(-((B23+6.5)^2)/(2*(10.8^2)))+EXP(-((B23-6.5)^2)/(2*(10.8^2))))</f>
        <v/>
      </c>
      <c r="H23" s="33">
        <f>11.51*(EXP(-((B23+6.5)^2)/(2*(10.8^2)))+EXP(-((B23-6.5)^2)/(2*(10.8^2))))</f>
        <v/>
      </c>
      <c r="I23" s="33">
        <f>17.27*(EXP(-((B23+6.5)^2)/(2*(10.8^2)))+EXP(-((B23-6.5)^2)/(2*(10.8^2))))</f>
        <v/>
      </c>
      <c r="J23" s="33">
        <f>23.03*(EXP(-((B23+6.5)^2)/(2*(10.8^2)))+EXP(-((B23-6.5)^2)/(2*(10.8^2))))</f>
        <v/>
      </c>
      <c r="K23" s="33">
        <f>(0.01*(3.15^2)*(4*(1-0.35)*18/(B23^2+324))*EXP(-1.38*(B23^2)/(21.15^2)))*1000</f>
        <v/>
      </c>
      <c r="L23" s="33">
        <f>ABS(H24-H22)/2</f>
        <v/>
      </c>
    </row>
    <row r="24">
      <c r="B24" s="11" t="n">
        <v>-32</v>
      </c>
      <c r="C24" s="32">
        <f>5.76*EXP(-(B24^2)/(2*(10.8^2)))</f>
        <v/>
      </c>
      <c r="D24" s="32">
        <f>11.51*EXP(-(B24^2)/(2*(10.8^2)))</f>
        <v/>
      </c>
      <c r="E24" s="32">
        <f>17.27*EXP(-(B24^2)/(2*(10.8^2)))</f>
        <v/>
      </c>
      <c r="F24" s="32">
        <f>23.03*EXP(-(B24^2)/(2*(10.8^2)))</f>
        <v/>
      </c>
      <c r="G24" s="32">
        <f>5.76*(EXP(-((B24+6.5)^2)/(2*(10.8^2)))+EXP(-((B24-6.5)^2)/(2*(10.8^2))))</f>
        <v/>
      </c>
      <c r="H24" s="32">
        <f>11.51*(EXP(-((B24+6.5)^2)/(2*(10.8^2)))+EXP(-((B24-6.5)^2)/(2*(10.8^2))))</f>
        <v/>
      </c>
      <c r="I24" s="32">
        <f>17.27*(EXP(-((B24+6.5)^2)/(2*(10.8^2)))+EXP(-((B24-6.5)^2)/(2*(10.8^2))))</f>
        <v/>
      </c>
      <c r="J24" s="32">
        <f>23.03*(EXP(-((B24+6.5)^2)/(2*(10.8^2)))+EXP(-((B24-6.5)^2)/(2*(10.8^2))))</f>
        <v/>
      </c>
      <c r="K24" s="32">
        <f>(0.01*(3.15^2)*(4*(1-0.35)*18/(B24^2+324))*EXP(-1.38*(B24^2)/(21.15^2)))*1000</f>
        <v/>
      </c>
      <c r="L24" s="32">
        <f>ABS(H25-H23)/2</f>
        <v/>
      </c>
    </row>
    <row r="25">
      <c r="B25" s="11" t="n">
        <v>-31</v>
      </c>
      <c r="C25" s="33">
        <f>5.76*EXP(-(B25^2)/(2*(10.8^2)))</f>
        <v/>
      </c>
      <c r="D25" s="33">
        <f>11.51*EXP(-(B25^2)/(2*(10.8^2)))</f>
        <v/>
      </c>
      <c r="E25" s="33">
        <f>17.27*EXP(-(B25^2)/(2*(10.8^2)))</f>
        <v/>
      </c>
      <c r="F25" s="33">
        <f>23.03*EXP(-(B25^2)/(2*(10.8^2)))</f>
        <v/>
      </c>
      <c r="G25" s="33">
        <f>5.76*(EXP(-((B25+6.5)^2)/(2*(10.8^2)))+EXP(-((B25-6.5)^2)/(2*(10.8^2))))</f>
        <v/>
      </c>
      <c r="H25" s="33">
        <f>11.51*(EXP(-((B25+6.5)^2)/(2*(10.8^2)))+EXP(-((B25-6.5)^2)/(2*(10.8^2))))</f>
        <v/>
      </c>
      <c r="I25" s="33">
        <f>17.27*(EXP(-((B25+6.5)^2)/(2*(10.8^2)))+EXP(-((B25-6.5)^2)/(2*(10.8^2))))</f>
        <v/>
      </c>
      <c r="J25" s="33">
        <f>23.03*(EXP(-((B25+6.5)^2)/(2*(10.8^2)))+EXP(-((B25-6.5)^2)/(2*(10.8^2))))</f>
        <v/>
      </c>
      <c r="K25" s="33">
        <f>(0.01*(3.15^2)*(4*(1-0.35)*18/(B25^2+324))*EXP(-1.38*(B25^2)/(21.15^2)))*1000</f>
        <v/>
      </c>
      <c r="L25" s="33">
        <f>ABS(H26-H24)/2</f>
        <v/>
      </c>
    </row>
    <row r="26">
      <c r="B26" s="11" t="n">
        <v>-30</v>
      </c>
      <c r="C26" s="32">
        <f>5.76*EXP(-(B26^2)/(2*(10.8^2)))</f>
        <v/>
      </c>
      <c r="D26" s="32">
        <f>11.51*EXP(-(B26^2)/(2*(10.8^2)))</f>
        <v/>
      </c>
      <c r="E26" s="32">
        <f>17.27*EXP(-(B26^2)/(2*(10.8^2)))</f>
        <v/>
      </c>
      <c r="F26" s="32">
        <f>23.03*EXP(-(B26^2)/(2*(10.8^2)))</f>
        <v/>
      </c>
      <c r="G26" s="32">
        <f>5.76*(EXP(-((B26+6.5)^2)/(2*(10.8^2)))+EXP(-((B26-6.5)^2)/(2*(10.8^2))))</f>
        <v/>
      </c>
      <c r="H26" s="32">
        <f>11.51*(EXP(-((B26+6.5)^2)/(2*(10.8^2)))+EXP(-((B26-6.5)^2)/(2*(10.8^2))))</f>
        <v/>
      </c>
      <c r="I26" s="32">
        <f>17.27*(EXP(-((B26+6.5)^2)/(2*(10.8^2)))+EXP(-((B26-6.5)^2)/(2*(10.8^2))))</f>
        <v/>
      </c>
      <c r="J26" s="32">
        <f>23.03*(EXP(-((B26+6.5)^2)/(2*(10.8^2)))+EXP(-((B26-6.5)^2)/(2*(10.8^2))))</f>
        <v/>
      </c>
      <c r="K26" s="32">
        <f>(0.01*(3.15^2)*(4*(1-0.35)*18/(B26^2+324))*EXP(-1.38*(B26^2)/(21.15^2)))*1000</f>
        <v/>
      </c>
      <c r="L26" s="32">
        <f>ABS(H27-H25)/2</f>
        <v/>
      </c>
    </row>
    <row r="27">
      <c r="B27" s="11" t="n">
        <v>-29</v>
      </c>
      <c r="C27" s="33">
        <f>5.76*EXP(-(B27^2)/(2*(10.8^2)))</f>
        <v/>
      </c>
      <c r="D27" s="33">
        <f>11.51*EXP(-(B27^2)/(2*(10.8^2)))</f>
        <v/>
      </c>
      <c r="E27" s="33">
        <f>17.27*EXP(-(B27^2)/(2*(10.8^2)))</f>
        <v/>
      </c>
      <c r="F27" s="33">
        <f>23.03*EXP(-(B27^2)/(2*(10.8^2)))</f>
        <v/>
      </c>
      <c r="G27" s="33">
        <f>5.76*(EXP(-((B27+6.5)^2)/(2*(10.8^2)))+EXP(-((B27-6.5)^2)/(2*(10.8^2))))</f>
        <v/>
      </c>
      <c r="H27" s="33">
        <f>11.51*(EXP(-((B27+6.5)^2)/(2*(10.8^2)))+EXP(-((B27-6.5)^2)/(2*(10.8^2))))</f>
        <v/>
      </c>
      <c r="I27" s="33">
        <f>17.27*(EXP(-((B27+6.5)^2)/(2*(10.8^2)))+EXP(-((B27-6.5)^2)/(2*(10.8^2))))</f>
        <v/>
      </c>
      <c r="J27" s="33">
        <f>23.03*(EXP(-((B27+6.5)^2)/(2*(10.8^2)))+EXP(-((B27-6.5)^2)/(2*(10.8^2))))</f>
        <v/>
      </c>
      <c r="K27" s="33">
        <f>(0.01*(3.15^2)*(4*(1-0.35)*18/(B27^2+324))*EXP(-1.38*(B27^2)/(21.15^2)))*1000</f>
        <v/>
      </c>
      <c r="L27" s="33">
        <f>ABS(H28-H26)/2</f>
        <v/>
      </c>
    </row>
    <row r="28">
      <c r="B28" s="11" t="n">
        <v>-28</v>
      </c>
      <c r="C28" s="32">
        <f>5.76*EXP(-(B28^2)/(2*(10.8^2)))</f>
        <v/>
      </c>
      <c r="D28" s="32">
        <f>11.51*EXP(-(B28^2)/(2*(10.8^2)))</f>
        <v/>
      </c>
      <c r="E28" s="32">
        <f>17.27*EXP(-(B28^2)/(2*(10.8^2)))</f>
        <v/>
      </c>
      <c r="F28" s="32">
        <f>23.03*EXP(-(B28^2)/(2*(10.8^2)))</f>
        <v/>
      </c>
      <c r="G28" s="32">
        <f>5.76*(EXP(-((B28+6.5)^2)/(2*(10.8^2)))+EXP(-((B28-6.5)^2)/(2*(10.8^2))))</f>
        <v/>
      </c>
      <c r="H28" s="32">
        <f>11.51*(EXP(-((B28+6.5)^2)/(2*(10.8^2)))+EXP(-((B28-6.5)^2)/(2*(10.8^2))))</f>
        <v/>
      </c>
      <c r="I28" s="32">
        <f>17.27*(EXP(-((B28+6.5)^2)/(2*(10.8^2)))+EXP(-((B28-6.5)^2)/(2*(10.8^2))))</f>
        <v/>
      </c>
      <c r="J28" s="32">
        <f>23.03*(EXP(-((B28+6.5)^2)/(2*(10.8^2)))+EXP(-((B28-6.5)^2)/(2*(10.8^2))))</f>
        <v/>
      </c>
      <c r="K28" s="32">
        <f>(0.01*(3.15^2)*(4*(1-0.35)*18/(B28^2+324))*EXP(-1.38*(B28^2)/(21.15^2)))*1000</f>
        <v/>
      </c>
      <c r="L28" s="32">
        <f>ABS(H29-H27)/2</f>
        <v/>
      </c>
    </row>
    <row r="29">
      <c r="B29" s="11" t="n">
        <v>-27</v>
      </c>
      <c r="C29" s="33">
        <f>5.76*EXP(-(B29^2)/(2*(10.8^2)))</f>
        <v/>
      </c>
      <c r="D29" s="33">
        <f>11.51*EXP(-(B29^2)/(2*(10.8^2)))</f>
        <v/>
      </c>
      <c r="E29" s="33">
        <f>17.27*EXP(-(B29^2)/(2*(10.8^2)))</f>
        <v/>
      </c>
      <c r="F29" s="33">
        <f>23.03*EXP(-(B29^2)/(2*(10.8^2)))</f>
        <v/>
      </c>
      <c r="G29" s="33">
        <f>5.76*(EXP(-((B29+6.5)^2)/(2*(10.8^2)))+EXP(-((B29-6.5)^2)/(2*(10.8^2))))</f>
        <v/>
      </c>
      <c r="H29" s="33">
        <f>11.51*(EXP(-((B29+6.5)^2)/(2*(10.8^2)))+EXP(-((B29-6.5)^2)/(2*(10.8^2))))</f>
        <v/>
      </c>
      <c r="I29" s="33">
        <f>17.27*(EXP(-((B29+6.5)^2)/(2*(10.8^2)))+EXP(-((B29-6.5)^2)/(2*(10.8^2))))</f>
        <v/>
      </c>
      <c r="J29" s="33">
        <f>23.03*(EXP(-((B29+6.5)^2)/(2*(10.8^2)))+EXP(-((B29-6.5)^2)/(2*(10.8^2))))</f>
        <v/>
      </c>
      <c r="K29" s="33">
        <f>(0.01*(3.15^2)*(4*(1-0.35)*18/(B29^2+324))*EXP(-1.38*(B29^2)/(21.15^2)))*1000</f>
        <v/>
      </c>
      <c r="L29" s="33">
        <f>ABS(H30-H28)/2</f>
        <v/>
      </c>
    </row>
    <row r="30">
      <c r="B30" s="11" t="n">
        <v>-26</v>
      </c>
      <c r="C30" s="32">
        <f>5.76*EXP(-(B30^2)/(2*(10.8^2)))</f>
        <v/>
      </c>
      <c r="D30" s="32">
        <f>11.51*EXP(-(B30^2)/(2*(10.8^2)))</f>
        <v/>
      </c>
      <c r="E30" s="32">
        <f>17.27*EXP(-(B30^2)/(2*(10.8^2)))</f>
        <v/>
      </c>
      <c r="F30" s="32">
        <f>23.03*EXP(-(B30^2)/(2*(10.8^2)))</f>
        <v/>
      </c>
      <c r="G30" s="32">
        <f>5.76*(EXP(-((B30+6.5)^2)/(2*(10.8^2)))+EXP(-((B30-6.5)^2)/(2*(10.8^2))))</f>
        <v/>
      </c>
      <c r="H30" s="32">
        <f>11.51*(EXP(-((B30+6.5)^2)/(2*(10.8^2)))+EXP(-((B30-6.5)^2)/(2*(10.8^2))))</f>
        <v/>
      </c>
      <c r="I30" s="32">
        <f>17.27*(EXP(-((B30+6.5)^2)/(2*(10.8^2)))+EXP(-((B30-6.5)^2)/(2*(10.8^2))))</f>
        <v/>
      </c>
      <c r="J30" s="32">
        <f>23.03*(EXP(-((B30+6.5)^2)/(2*(10.8^2)))+EXP(-((B30-6.5)^2)/(2*(10.8^2))))</f>
        <v/>
      </c>
      <c r="K30" s="32">
        <f>(0.01*(3.15^2)*(4*(1-0.35)*18/(B30^2+324))*EXP(-1.38*(B30^2)/(21.15^2)))*1000</f>
        <v/>
      </c>
      <c r="L30" s="32">
        <f>ABS(H31-H29)/2</f>
        <v/>
      </c>
    </row>
    <row r="31">
      <c r="B31" s="11" t="n">
        <v>-25</v>
      </c>
      <c r="C31" s="33">
        <f>5.76*EXP(-(B31^2)/(2*(10.8^2)))</f>
        <v/>
      </c>
      <c r="D31" s="33">
        <f>11.51*EXP(-(B31^2)/(2*(10.8^2)))</f>
        <v/>
      </c>
      <c r="E31" s="33">
        <f>17.27*EXP(-(B31^2)/(2*(10.8^2)))</f>
        <v/>
      </c>
      <c r="F31" s="33">
        <f>23.03*EXP(-(B31^2)/(2*(10.8^2)))</f>
        <v/>
      </c>
      <c r="G31" s="33">
        <f>5.76*(EXP(-((B31+6.5)^2)/(2*(10.8^2)))+EXP(-((B31-6.5)^2)/(2*(10.8^2))))</f>
        <v/>
      </c>
      <c r="H31" s="33">
        <f>11.51*(EXP(-((B31+6.5)^2)/(2*(10.8^2)))+EXP(-((B31-6.5)^2)/(2*(10.8^2))))</f>
        <v/>
      </c>
      <c r="I31" s="33">
        <f>17.27*(EXP(-((B31+6.5)^2)/(2*(10.8^2)))+EXP(-((B31-6.5)^2)/(2*(10.8^2))))</f>
        <v/>
      </c>
      <c r="J31" s="33">
        <f>23.03*(EXP(-((B31+6.5)^2)/(2*(10.8^2)))+EXP(-((B31-6.5)^2)/(2*(10.8^2))))</f>
        <v/>
      </c>
      <c r="K31" s="33">
        <f>(0.01*(3.15^2)*(4*(1-0.35)*18/(B31^2+324))*EXP(-1.38*(B31^2)/(21.15^2)))*1000</f>
        <v/>
      </c>
      <c r="L31" s="33">
        <f>ABS(H32-H30)/2</f>
        <v/>
      </c>
    </row>
    <row r="32">
      <c r="B32" s="11" t="n">
        <v>-24</v>
      </c>
      <c r="C32" s="32">
        <f>5.76*EXP(-(B32^2)/(2*(10.8^2)))</f>
        <v/>
      </c>
      <c r="D32" s="32">
        <f>11.51*EXP(-(B32^2)/(2*(10.8^2)))</f>
        <v/>
      </c>
      <c r="E32" s="32">
        <f>17.27*EXP(-(B32^2)/(2*(10.8^2)))</f>
        <v/>
      </c>
      <c r="F32" s="32">
        <f>23.03*EXP(-(B32^2)/(2*(10.8^2)))</f>
        <v/>
      </c>
      <c r="G32" s="32">
        <f>5.76*(EXP(-((B32+6.5)^2)/(2*(10.8^2)))+EXP(-((B32-6.5)^2)/(2*(10.8^2))))</f>
        <v/>
      </c>
      <c r="H32" s="32">
        <f>11.51*(EXP(-((B32+6.5)^2)/(2*(10.8^2)))+EXP(-((B32-6.5)^2)/(2*(10.8^2))))</f>
        <v/>
      </c>
      <c r="I32" s="32">
        <f>17.27*(EXP(-((B32+6.5)^2)/(2*(10.8^2)))+EXP(-((B32-6.5)^2)/(2*(10.8^2))))</f>
        <v/>
      </c>
      <c r="J32" s="32">
        <f>23.03*(EXP(-((B32+6.5)^2)/(2*(10.8^2)))+EXP(-((B32-6.5)^2)/(2*(10.8^2))))</f>
        <v/>
      </c>
      <c r="K32" s="32">
        <f>(0.01*(3.15^2)*(4*(1-0.35)*18/(B32^2+324))*EXP(-1.38*(B32^2)/(21.15^2)))*1000</f>
        <v/>
      </c>
      <c r="L32" s="32">
        <f>ABS(H33-H31)/2</f>
        <v/>
      </c>
    </row>
    <row r="33">
      <c r="B33" s="11" t="n">
        <v>-23</v>
      </c>
      <c r="C33" s="33">
        <f>5.76*EXP(-(B33^2)/(2*(10.8^2)))</f>
        <v/>
      </c>
      <c r="D33" s="33">
        <f>11.51*EXP(-(B33^2)/(2*(10.8^2)))</f>
        <v/>
      </c>
      <c r="E33" s="33">
        <f>17.27*EXP(-(B33^2)/(2*(10.8^2)))</f>
        <v/>
      </c>
      <c r="F33" s="33">
        <f>23.03*EXP(-(B33^2)/(2*(10.8^2)))</f>
        <v/>
      </c>
      <c r="G33" s="33">
        <f>5.76*(EXP(-((B33+6.5)^2)/(2*(10.8^2)))+EXP(-((B33-6.5)^2)/(2*(10.8^2))))</f>
        <v/>
      </c>
      <c r="H33" s="33">
        <f>11.51*(EXP(-((B33+6.5)^2)/(2*(10.8^2)))+EXP(-((B33-6.5)^2)/(2*(10.8^2))))</f>
        <v/>
      </c>
      <c r="I33" s="33">
        <f>17.27*(EXP(-((B33+6.5)^2)/(2*(10.8^2)))+EXP(-((B33-6.5)^2)/(2*(10.8^2))))</f>
        <v/>
      </c>
      <c r="J33" s="33">
        <f>23.03*(EXP(-((B33+6.5)^2)/(2*(10.8^2)))+EXP(-((B33-6.5)^2)/(2*(10.8^2))))</f>
        <v/>
      </c>
      <c r="K33" s="33">
        <f>(0.01*(3.15^2)*(4*(1-0.35)*18/(B33^2+324))*EXP(-1.38*(B33^2)/(21.15^2)))*1000</f>
        <v/>
      </c>
      <c r="L33" s="33">
        <f>ABS(H34-H32)/2</f>
        <v/>
      </c>
    </row>
    <row r="34">
      <c r="B34" s="11" t="n">
        <v>-22</v>
      </c>
      <c r="C34" s="32">
        <f>5.76*EXP(-(B34^2)/(2*(10.8^2)))</f>
        <v/>
      </c>
      <c r="D34" s="32">
        <f>11.51*EXP(-(B34^2)/(2*(10.8^2)))</f>
        <v/>
      </c>
      <c r="E34" s="32">
        <f>17.27*EXP(-(B34^2)/(2*(10.8^2)))</f>
        <v/>
      </c>
      <c r="F34" s="32">
        <f>23.03*EXP(-(B34^2)/(2*(10.8^2)))</f>
        <v/>
      </c>
      <c r="G34" s="32">
        <f>5.76*(EXP(-((B34+6.5)^2)/(2*(10.8^2)))+EXP(-((B34-6.5)^2)/(2*(10.8^2))))</f>
        <v/>
      </c>
      <c r="H34" s="32">
        <f>11.51*(EXP(-((B34+6.5)^2)/(2*(10.8^2)))+EXP(-((B34-6.5)^2)/(2*(10.8^2))))</f>
        <v/>
      </c>
      <c r="I34" s="32">
        <f>17.27*(EXP(-((B34+6.5)^2)/(2*(10.8^2)))+EXP(-((B34-6.5)^2)/(2*(10.8^2))))</f>
        <v/>
      </c>
      <c r="J34" s="32">
        <f>23.03*(EXP(-((B34+6.5)^2)/(2*(10.8^2)))+EXP(-((B34-6.5)^2)/(2*(10.8^2))))</f>
        <v/>
      </c>
      <c r="K34" s="32">
        <f>(0.01*(3.15^2)*(4*(1-0.35)*18/(B34^2+324))*EXP(-1.38*(B34^2)/(21.15^2)))*1000</f>
        <v/>
      </c>
      <c r="L34" s="32">
        <f>ABS(H35-H33)/2</f>
        <v/>
      </c>
    </row>
    <row r="35">
      <c r="B35" s="11" t="n">
        <v>-21</v>
      </c>
      <c r="C35" s="33">
        <f>5.76*EXP(-(B35^2)/(2*(10.8^2)))</f>
        <v/>
      </c>
      <c r="D35" s="33">
        <f>11.51*EXP(-(B35^2)/(2*(10.8^2)))</f>
        <v/>
      </c>
      <c r="E35" s="33">
        <f>17.27*EXP(-(B35^2)/(2*(10.8^2)))</f>
        <v/>
      </c>
      <c r="F35" s="33">
        <f>23.03*EXP(-(B35^2)/(2*(10.8^2)))</f>
        <v/>
      </c>
      <c r="G35" s="33">
        <f>5.76*(EXP(-((B35+6.5)^2)/(2*(10.8^2)))+EXP(-((B35-6.5)^2)/(2*(10.8^2))))</f>
        <v/>
      </c>
      <c r="H35" s="33">
        <f>11.51*(EXP(-((B35+6.5)^2)/(2*(10.8^2)))+EXP(-((B35-6.5)^2)/(2*(10.8^2))))</f>
        <v/>
      </c>
      <c r="I35" s="33">
        <f>17.27*(EXP(-((B35+6.5)^2)/(2*(10.8^2)))+EXP(-((B35-6.5)^2)/(2*(10.8^2))))</f>
        <v/>
      </c>
      <c r="J35" s="33">
        <f>23.03*(EXP(-((B35+6.5)^2)/(2*(10.8^2)))+EXP(-((B35-6.5)^2)/(2*(10.8^2))))</f>
        <v/>
      </c>
      <c r="K35" s="33">
        <f>(0.01*(3.15^2)*(4*(1-0.35)*18/(B35^2+324))*EXP(-1.38*(B35^2)/(21.15^2)))*1000</f>
        <v/>
      </c>
      <c r="L35" s="33">
        <f>ABS(H36-H34)/2</f>
        <v/>
      </c>
    </row>
    <row r="36">
      <c r="B36" s="11" t="n">
        <v>-20</v>
      </c>
      <c r="C36" s="32">
        <f>5.76*EXP(-(B36^2)/(2*(10.8^2)))</f>
        <v/>
      </c>
      <c r="D36" s="32">
        <f>11.51*EXP(-(B36^2)/(2*(10.8^2)))</f>
        <v/>
      </c>
      <c r="E36" s="32">
        <f>17.27*EXP(-(B36^2)/(2*(10.8^2)))</f>
        <v/>
      </c>
      <c r="F36" s="32">
        <f>23.03*EXP(-(B36^2)/(2*(10.8^2)))</f>
        <v/>
      </c>
      <c r="G36" s="32">
        <f>5.76*(EXP(-((B36+6.5)^2)/(2*(10.8^2)))+EXP(-((B36-6.5)^2)/(2*(10.8^2))))</f>
        <v/>
      </c>
      <c r="H36" s="32">
        <f>11.51*(EXP(-((B36+6.5)^2)/(2*(10.8^2)))+EXP(-((B36-6.5)^2)/(2*(10.8^2))))</f>
        <v/>
      </c>
      <c r="I36" s="32">
        <f>17.27*(EXP(-((B36+6.5)^2)/(2*(10.8^2)))+EXP(-((B36-6.5)^2)/(2*(10.8^2))))</f>
        <v/>
      </c>
      <c r="J36" s="32">
        <f>23.03*(EXP(-((B36+6.5)^2)/(2*(10.8^2)))+EXP(-((B36-6.5)^2)/(2*(10.8^2))))</f>
        <v/>
      </c>
      <c r="K36" s="32">
        <f>(0.01*(3.15^2)*(4*(1-0.35)*18/(B36^2+324))*EXP(-1.38*(B36^2)/(21.15^2)))*1000</f>
        <v/>
      </c>
      <c r="L36" s="32">
        <f>ABS(H37-H35)/2</f>
        <v/>
      </c>
    </row>
    <row r="37">
      <c r="B37" s="11" t="n">
        <v>-19</v>
      </c>
      <c r="C37" s="33">
        <f>5.76*EXP(-(B37^2)/(2*(10.8^2)))</f>
        <v/>
      </c>
      <c r="D37" s="33">
        <f>11.51*EXP(-(B37^2)/(2*(10.8^2)))</f>
        <v/>
      </c>
      <c r="E37" s="33">
        <f>17.27*EXP(-(B37^2)/(2*(10.8^2)))</f>
        <v/>
      </c>
      <c r="F37" s="33">
        <f>23.03*EXP(-(B37^2)/(2*(10.8^2)))</f>
        <v/>
      </c>
      <c r="G37" s="33">
        <f>5.76*(EXP(-((B37+6.5)^2)/(2*(10.8^2)))+EXP(-((B37-6.5)^2)/(2*(10.8^2))))</f>
        <v/>
      </c>
      <c r="H37" s="33">
        <f>11.51*(EXP(-((B37+6.5)^2)/(2*(10.8^2)))+EXP(-((B37-6.5)^2)/(2*(10.8^2))))</f>
        <v/>
      </c>
      <c r="I37" s="33">
        <f>17.27*(EXP(-((B37+6.5)^2)/(2*(10.8^2)))+EXP(-((B37-6.5)^2)/(2*(10.8^2))))</f>
        <v/>
      </c>
      <c r="J37" s="33">
        <f>23.03*(EXP(-((B37+6.5)^2)/(2*(10.8^2)))+EXP(-((B37-6.5)^2)/(2*(10.8^2))))</f>
        <v/>
      </c>
      <c r="K37" s="33">
        <f>(0.01*(3.15^2)*(4*(1-0.35)*18/(B37^2+324))*EXP(-1.38*(B37^2)/(21.15^2)))*1000</f>
        <v/>
      </c>
      <c r="L37" s="33">
        <f>ABS(H38-H36)/2</f>
        <v/>
      </c>
    </row>
    <row r="38">
      <c r="B38" s="11" t="n">
        <v>-18</v>
      </c>
      <c r="C38" s="32">
        <f>5.76*EXP(-(B38^2)/(2*(10.8^2)))</f>
        <v/>
      </c>
      <c r="D38" s="32">
        <f>11.51*EXP(-(B38^2)/(2*(10.8^2)))</f>
        <v/>
      </c>
      <c r="E38" s="32">
        <f>17.27*EXP(-(B38^2)/(2*(10.8^2)))</f>
        <v/>
      </c>
      <c r="F38" s="32">
        <f>23.03*EXP(-(B38^2)/(2*(10.8^2)))</f>
        <v/>
      </c>
      <c r="G38" s="32">
        <f>5.76*(EXP(-((B38+6.5)^2)/(2*(10.8^2)))+EXP(-((B38-6.5)^2)/(2*(10.8^2))))</f>
        <v/>
      </c>
      <c r="H38" s="32">
        <f>11.51*(EXP(-((B38+6.5)^2)/(2*(10.8^2)))+EXP(-((B38-6.5)^2)/(2*(10.8^2))))</f>
        <v/>
      </c>
      <c r="I38" s="32">
        <f>17.27*(EXP(-((B38+6.5)^2)/(2*(10.8^2)))+EXP(-((B38-6.5)^2)/(2*(10.8^2))))</f>
        <v/>
      </c>
      <c r="J38" s="32">
        <f>23.03*(EXP(-((B38+6.5)^2)/(2*(10.8^2)))+EXP(-((B38-6.5)^2)/(2*(10.8^2))))</f>
        <v/>
      </c>
      <c r="K38" s="32">
        <f>(0.01*(3.15^2)*(4*(1-0.35)*18/(B38^2+324))*EXP(-1.38*(B38^2)/(21.15^2)))*1000</f>
        <v/>
      </c>
      <c r="L38" s="32">
        <f>ABS(H39-H37)/2</f>
        <v/>
      </c>
    </row>
    <row r="39">
      <c r="B39" s="11" t="n">
        <v>-17</v>
      </c>
      <c r="C39" s="33">
        <f>5.76*EXP(-(B39^2)/(2*(10.8^2)))</f>
        <v/>
      </c>
      <c r="D39" s="33">
        <f>11.51*EXP(-(B39^2)/(2*(10.8^2)))</f>
        <v/>
      </c>
      <c r="E39" s="33">
        <f>17.27*EXP(-(B39^2)/(2*(10.8^2)))</f>
        <v/>
      </c>
      <c r="F39" s="33">
        <f>23.03*EXP(-(B39^2)/(2*(10.8^2)))</f>
        <v/>
      </c>
      <c r="G39" s="33">
        <f>5.76*(EXP(-((B39+6.5)^2)/(2*(10.8^2)))+EXP(-((B39-6.5)^2)/(2*(10.8^2))))</f>
        <v/>
      </c>
      <c r="H39" s="33">
        <f>11.51*(EXP(-((B39+6.5)^2)/(2*(10.8^2)))+EXP(-((B39-6.5)^2)/(2*(10.8^2))))</f>
        <v/>
      </c>
      <c r="I39" s="33">
        <f>17.27*(EXP(-((B39+6.5)^2)/(2*(10.8^2)))+EXP(-((B39-6.5)^2)/(2*(10.8^2))))</f>
        <v/>
      </c>
      <c r="J39" s="33">
        <f>23.03*(EXP(-((B39+6.5)^2)/(2*(10.8^2)))+EXP(-((B39-6.5)^2)/(2*(10.8^2))))</f>
        <v/>
      </c>
      <c r="K39" s="33">
        <f>(0.01*(3.15^2)*(4*(1-0.35)*18/(B39^2+324))*EXP(-1.38*(B39^2)/(21.15^2)))*1000</f>
        <v/>
      </c>
      <c r="L39" s="33">
        <f>ABS(H40-H38)/2</f>
        <v/>
      </c>
    </row>
    <row r="40">
      <c r="B40" s="11" t="n">
        <v>-16</v>
      </c>
      <c r="C40" s="32">
        <f>5.76*EXP(-(B40^2)/(2*(10.8^2)))</f>
        <v/>
      </c>
      <c r="D40" s="32">
        <f>11.51*EXP(-(B40^2)/(2*(10.8^2)))</f>
        <v/>
      </c>
      <c r="E40" s="32">
        <f>17.27*EXP(-(B40^2)/(2*(10.8^2)))</f>
        <v/>
      </c>
      <c r="F40" s="32">
        <f>23.03*EXP(-(B40^2)/(2*(10.8^2)))</f>
        <v/>
      </c>
      <c r="G40" s="32">
        <f>5.76*(EXP(-((B40+6.5)^2)/(2*(10.8^2)))+EXP(-((B40-6.5)^2)/(2*(10.8^2))))</f>
        <v/>
      </c>
      <c r="H40" s="32">
        <f>11.51*(EXP(-((B40+6.5)^2)/(2*(10.8^2)))+EXP(-((B40-6.5)^2)/(2*(10.8^2))))</f>
        <v/>
      </c>
      <c r="I40" s="32">
        <f>17.27*(EXP(-((B40+6.5)^2)/(2*(10.8^2)))+EXP(-((B40-6.5)^2)/(2*(10.8^2))))</f>
        <v/>
      </c>
      <c r="J40" s="32">
        <f>23.03*(EXP(-((B40+6.5)^2)/(2*(10.8^2)))+EXP(-((B40-6.5)^2)/(2*(10.8^2))))</f>
        <v/>
      </c>
      <c r="K40" s="32">
        <f>(0.01*(3.15^2)*(4*(1-0.35)*18/(B40^2+324))*EXP(-1.38*(B40^2)/(21.15^2)))*1000</f>
        <v/>
      </c>
      <c r="L40" s="32">
        <f>ABS(H41-H39)/2</f>
        <v/>
      </c>
    </row>
    <row r="41">
      <c r="B41" s="11" t="n">
        <v>-15</v>
      </c>
      <c r="C41" s="33">
        <f>5.76*EXP(-(B41^2)/(2*(10.8^2)))</f>
        <v/>
      </c>
      <c r="D41" s="33">
        <f>11.51*EXP(-(B41^2)/(2*(10.8^2)))</f>
        <v/>
      </c>
      <c r="E41" s="33">
        <f>17.27*EXP(-(B41^2)/(2*(10.8^2)))</f>
        <v/>
      </c>
      <c r="F41" s="33">
        <f>23.03*EXP(-(B41^2)/(2*(10.8^2)))</f>
        <v/>
      </c>
      <c r="G41" s="33">
        <f>5.76*(EXP(-((B41+6.5)^2)/(2*(10.8^2)))+EXP(-((B41-6.5)^2)/(2*(10.8^2))))</f>
        <v/>
      </c>
      <c r="H41" s="33">
        <f>11.51*(EXP(-((B41+6.5)^2)/(2*(10.8^2)))+EXP(-((B41-6.5)^2)/(2*(10.8^2))))</f>
        <v/>
      </c>
      <c r="I41" s="33">
        <f>17.27*(EXP(-((B41+6.5)^2)/(2*(10.8^2)))+EXP(-((B41-6.5)^2)/(2*(10.8^2))))</f>
        <v/>
      </c>
      <c r="J41" s="33">
        <f>23.03*(EXP(-((B41+6.5)^2)/(2*(10.8^2)))+EXP(-((B41-6.5)^2)/(2*(10.8^2))))</f>
        <v/>
      </c>
      <c r="K41" s="33">
        <f>(0.01*(3.15^2)*(4*(1-0.35)*18/(B41^2+324))*EXP(-1.38*(B41^2)/(21.15^2)))*1000</f>
        <v/>
      </c>
      <c r="L41" s="33">
        <f>ABS(H42-H40)/2</f>
        <v/>
      </c>
    </row>
    <row r="42">
      <c r="B42" s="11" t="n">
        <v>-14</v>
      </c>
      <c r="C42" s="32">
        <f>5.76*EXP(-(B42^2)/(2*(10.8^2)))</f>
        <v/>
      </c>
      <c r="D42" s="32">
        <f>11.51*EXP(-(B42^2)/(2*(10.8^2)))</f>
        <v/>
      </c>
      <c r="E42" s="32">
        <f>17.27*EXP(-(B42^2)/(2*(10.8^2)))</f>
        <v/>
      </c>
      <c r="F42" s="32">
        <f>23.03*EXP(-(B42^2)/(2*(10.8^2)))</f>
        <v/>
      </c>
      <c r="G42" s="32">
        <f>5.76*(EXP(-((B42+6.5)^2)/(2*(10.8^2)))+EXP(-((B42-6.5)^2)/(2*(10.8^2))))</f>
        <v/>
      </c>
      <c r="H42" s="32">
        <f>11.51*(EXP(-((B42+6.5)^2)/(2*(10.8^2)))+EXP(-((B42-6.5)^2)/(2*(10.8^2))))</f>
        <v/>
      </c>
      <c r="I42" s="32">
        <f>17.27*(EXP(-((B42+6.5)^2)/(2*(10.8^2)))+EXP(-((B42-6.5)^2)/(2*(10.8^2))))</f>
        <v/>
      </c>
      <c r="J42" s="32">
        <f>23.03*(EXP(-((B42+6.5)^2)/(2*(10.8^2)))+EXP(-((B42-6.5)^2)/(2*(10.8^2))))</f>
        <v/>
      </c>
      <c r="K42" s="32">
        <f>(0.01*(3.15^2)*(4*(1-0.35)*18/(B42^2+324))*EXP(-1.38*(B42^2)/(21.15^2)))*1000</f>
        <v/>
      </c>
      <c r="L42" s="32">
        <f>ABS(H43-H41)/2</f>
        <v/>
      </c>
    </row>
    <row r="43">
      <c r="B43" s="11" t="n">
        <v>-13</v>
      </c>
      <c r="C43" s="33">
        <f>5.76*EXP(-(B43^2)/(2*(10.8^2)))</f>
        <v/>
      </c>
      <c r="D43" s="33">
        <f>11.51*EXP(-(B43^2)/(2*(10.8^2)))</f>
        <v/>
      </c>
      <c r="E43" s="33">
        <f>17.27*EXP(-(B43^2)/(2*(10.8^2)))</f>
        <v/>
      </c>
      <c r="F43" s="33">
        <f>23.03*EXP(-(B43^2)/(2*(10.8^2)))</f>
        <v/>
      </c>
      <c r="G43" s="33">
        <f>5.76*(EXP(-((B43+6.5)^2)/(2*(10.8^2)))+EXP(-((B43-6.5)^2)/(2*(10.8^2))))</f>
        <v/>
      </c>
      <c r="H43" s="33">
        <f>11.51*(EXP(-((B43+6.5)^2)/(2*(10.8^2)))+EXP(-((B43-6.5)^2)/(2*(10.8^2))))</f>
        <v/>
      </c>
      <c r="I43" s="33">
        <f>17.27*(EXP(-((B43+6.5)^2)/(2*(10.8^2)))+EXP(-((B43-6.5)^2)/(2*(10.8^2))))</f>
        <v/>
      </c>
      <c r="J43" s="33">
        <f>23.03*(EXP(-((B43+6.5)^2)/(2*(10.8^2)))+EXP(-((B43-6.5)^2)/(2*(10.8^2))))</f>
        <v/>
      </c>
      <c r="K43" s="33">
        <f>(0.01*(3.15^2)*(4*(1-0.35)*18/(B43^2+324))*EXP(-1.38*(B43^2)/(21.15^2)))*1000</f>
        <v/>
      </c>
      <c r="L43" s="33">
        <f>ABS(H44-H42)/2</f>
        <v/>
      </c>
    </row>
    <row r="44">
      <c r="B44" s="11" t="n">
        <v>-12</v>
      </c>
      <c r="C44" s="32">
        <f>5.76*EXP(-(B44^2)/(2*(10.8^2)))</f>
        <v/>
      </c>
      <c r="D44" s="32">
        <f>11.51*EXP(-(B44^2)/(2*(10.8^2)))</f>
        <v/>
      </c>
      <c r="E44" s="32">
        <f>17.27*EXP(-(B44^2)/(2*(10.8^2)))</f>
        <v/>
      </c>
      <c r="F44" s="32">
        <f>23.03*EXP(-(B44^2)/(2*(10.8^2)))</f>
        <v/>
      </c>
      <c r="G44" s="32">
        <f>5.76*(EXP(-((B44+6.5)^2)/(2*(10.8^2)))+EXP(-((B44-6.5)^2)/(2*(10.8^2))))</f>
        <v/>
      </c>
      <c r="H44" s="32">
        <f>11.51*(EXP(-((B44+6.5)^2)/(2*(10.8^2)))+EXP(-((B44-6.5)^2)/(2*(10.8^2))))</f>
        <v/>
      </c>
      <c r="I44" s="32">
        <f>17.27*(EXP(-((B44+6.5)^2)/(2*(10.8^2)))+EXP(-((B44-6.5)^2)/(2*(10.8^2))))</f>
        <v/>
      </c>
      <c r="J44" s="32">
        <f>23.03*(EXP(-((B44+6.5)^2)/(2*(10.8^2)))+EXP(-((B44-6.5)^2)/(2*(10.8^2))))</f>
        <v/>
      </c>
      <c r="K44" s="32">
        <f>(0.01*(3.15^2)*(4*(1-0.35)*18/(B44^2+324))*EXP(-1.38*(B44^2)/(21.15^2)))*1000</f>
        <v/>
      </c>
      <c r="L44" s="32">
        <f>ABS(H45-H43)/2</f>
        <v/>
      </c>
    </row>
    <row r="45">
      <c r="B45" s="11" t="n">
        <v>-11</v>
      </c>
      <c r="C45" s="33">
        <f>5.76*EXP(-(B45^2)/(2*(10.8^2)))</f>
        <v/>
      </c>
      <c r="D45" s="33">
        <f>11.51*EXP(-(B45^2)/(2*(10.8^2)))</f>
        <v/>
      </c>
      <c r="E45" s="33">
        <f>17.27*EXP(-(B45^2)/(2*(10.8^2)))</f>
        <v/>
      </c>
      <c r="F45" s="33">
        <f>23.03*EXP(-(B45^2)/(2*(10.8^2)))</f>
        <v/>
      </c>
      <c r="G45" s="33">
        <f>5.76*(EXP(-((B45+6.5)^2)/(2*(10.8^2)))+EXP(-((B45-6.5)^2)/(2*(10.8^2))))</f>
        <v/>
      </c>
      <c r="H45" s="33">
        <f>11.51*(EXP(-((B45+6.5)^2)/(2*(10.8^2)))+EXP(-((B45-6.5)^2)/(2*(10.8^2))))</f>
        <v/>
      </c>
      <c r="I45" s="33">
        <f>17.27*(EXP(-((B45+6.5)^2)/(2*(10.8^2)))+EXP(-((B45-6.5)^2)/(2*(10.8^2))))</f>
        <v/>
      </c>
      <c r="J45" s="33">
        <f>23.03*(EXP(-((B45+6.5)^2)/(2*(10.8^2)))+EXP(-((B45-6.5)^2)/(2*(10.8^2))))</f>
        <v/>
      </c>
      <c r="K45" s="33">
        <f>(0.01*(3.15^2)*(4*(1-0.35)*18/(B45^2+324))*EXP(-1.38*(B45^2)/(21.15^2)))*1000</f>
        <v/>
      </c>
      <c r="L45" s="33">
        <f>ABS(H46-H44)/2</f>
        <v/>
      </c>
    </row>
    <row r="46">
      <c r="B46" s="11" t="n">
        <v>-10</v>
      </c>
      <c r="C46" s="32">
        <f>5.76*EXP(-(B46^2)/(2*(10.8^2)))</f>
        <v/>
      </c>
      <c r="D46" s="32">
        <f>11.51*EXP(-(B46^2)/(2*(10.8^2)))</f>
        <v/>
      </c>
      <c r="E46" s="32">
        <f>17.27*EXP(-(B46^2)/(2*(10.8^2)))</f>
        <v/>
      </c>
      <c r="F46" s="32">
        <f>23.03*EXP(-(B46^2)/(2*(10.8^2)))</f>
        <v/>
      </c>
      <c r="G46" s="32">
        <f>5.76*(EXP(-((B46+6.5)^2)/(2*(10.8^2)))+EXP(-((B46-6.5)^2)/(2*(10.8^2))))</f>
        <v/>
      </c>
      <c r="H46" s="32">
        <f>11.51*(EXP(-((B46+6.5)^2)/(2*(10.8^2)))+EXP(-((B46-6.5)^2)/(2*(10.8^2))))</f>
        <v/>
      </c>
      <c r="I46" s="32">
        <f>17.27*(EXP(-((B46+6.5)^2)/(2*(10.8^2)))+EXP(-((B46-6.5)^2)/(2*(10.8^2))))</f>
        <v/>
      </c>
      <c r="J46" s="32">
        <f>23.03*(EXP(-((B46+6.5)^2)/(2*(10.8^2)))+EXP(-((B46-6.5)^2)/(2*(10.8^2))))</f>
        <v/>
      </c>
      <c r="K46" s="32">
        <f>(0.01*(3.15^2)*(4*(1-0.35)*18/(B46^2+324))*EXP(-1.38*(B46^2)/(21.15^2)))*1000</f>
        <v/>
      </c>
      <c r="L46" s="32">
        <f>ABS(H47-H45)/2</f>
        <v/>
      </c>
    </row>
    <row r="47">
      <c r="B47" s="11" t="n">
        <v>-9</v>
      </c>
      <c r="C47" s="33">
        <f>5.76*EXP(-(B47^2)/(2*(10.8^2)))</f>
        <v/>
      </c>
      <c r="D47" s="33">
        <f>11.51*EXP(-(B47^2)/(2*(10.8^2)))</f>
        <v/>
      </c>
      <c r="E47" s="33">
        <f>17.27*EXP(-(B47^2)/(2*(10.8^2)))</f>
        <v/>
      </c>
      <c r="F47" s="33">
        <f>23.03*EXP(-(B47^2)/(2*(10.8^2)))</f>
        <v/>
      </c>
      <c r="G47" s="33">
        <f>5.76*(EXP(-((B47+6.5)^2)/(2*(10.8^2)))+EXP(-((B47-6.5)^2)/(2*(10.8^2))))</f>
        <v/>
      </c>
      <c r="H47" s="33">
        <f>11.51*(EXP(-((B47+6.5)^2)/(2*(10.8^2)))+EXP(-((B47-6.5)^2)/(2*(10.8^2))))</f>
        <v/>
      </c>
      <c r="I47" s="33">
        <f>17.27*(EXP(-((B47+6.5)^2)/(2*(10.8^2)))+EXP(-((B47-6.5)^2)/(2*(10.8^2))))</f>
        <v/>
      </c>
      <c r="J47" s="33">
        <f>23.03*(EXP(-((B47+6.5)^2)/(2*(10.8^2)))+EXP(-((B47-6.5)^2)/(2*(10.8^2))))</f>
        <v/>
      </c>
      <c r="K47" s="33">
        <f>(0.01*(3.15^2)*(4*(1-0.35)*18/(B47^2+324))*EXP(-1.38*(B47^2)/(21.15^2)))*1000</f>
        <v/>
      </c>
      <c r="L47" s="33">
        <f>ABS(H48-H46)/2</f>
        <v/>
      </c>
    </row>
    <row r="48">
      <c r="B48" s="11" t="n">
        <v>-8</v>
      </c>
      <c r="C48" s="32">
        <f>5.76*EXP(-(B48^2)/(2*(10.8^2)))</f>
        <v/>
      </c>
      <c r="D48" s="32">
        <f>11.51*EXP(-(B48^2)/(2*(10.8^2)))</f>
        <v/>
      </c>
      <c r="E48" s="32">
        <f>17.27*EXP(-(B48^2)/(2*(10.8^2)))</f>
        <v/>
      </c>
      <c r="F48" s="32">
        <f>23.03*EXP(-(B48^2)/(2*(10.8^2)))</f>
        <v/>
      </c>
      <c r="G48" s="32">
        <f>5.76*(EXP(-((B48+6.5)^2)/(2*(10.8^2)))+EXP(-((B48-6.5)^2)/(2*(10.8^2))))</f>
        <v/>
      </c>
      <c r="H48" s="32">
        <f>11.51*(EXP(-((B48+6.5)^2)/(2*(10.8^2)))+EXP(-((B48-6.5)^2)/(2*(10.8^2))))</f>
        <v/>
      </c>
      <c r="I48" s="32">
        <f>17.27*(EXP(-((B48+6.5)^2)/(2*(10.8^2)))+EXP(-((B48-6.5)^2)/(2*(10.8^2))))</f>
        <v/>
      </c>
      <c r="J48" s="32">
        <f>23.03*(EXP(-((B48+6.5)^2)/(2*(10.8^2)))+EXP(-((B48-6.5)^2)/(2*(10.8^2))))</f>
        <v/>
      </c>
      <c r="K48" s="32">
        <f>(0.01*(3.15^2)*(4*(1-0.35)*18/(B48^2+324))*EXP(-1.38*(B48^2)/(21.15^2)))*1000</f>
        <v/>
      </c>
      <c r="L48" s="32">
        <f>ABS(H49-H47)/2</f>
        <v/>
      </c>
    </row>
    <row r="49">
      <c r="B49" s="11" t="n">
        <v>-7</v>
      </c>
      <c r="C49" s="33">
        <f>5.76*EXP(-(B49^2)/(2*(10.8^2)))</f>
        <v/>
      </c>
      <c r="D49" s="33">
        <f>11.51*EXP(-(B49^2)/(2*(10.8^2)))</f>
        <v/>
      </c>
      <c r="E49" s="33">
        <f>17.27*EXP(-(B49^2)/(2*(10.8^2)))</f>
        <v/>
      </c>
      <c r="F49" s="33">
        <f>23.03*EXP(-(B49^2)/(2*(10.8^2)))</f>
        <v/>
      </c>
      <c r="G49" s="33">
        <f>5.76*(EXP(-((B49+6.5)^2)/(2*(10.8^2)))+EXP(-((B49-6.5)^2)/(2*(10.8^2))))</f>
        <v/>
      </c>
      <c r="H49" s="33">
        <f>11.51*(EXP(-((B49+6.5)^2)/(2*(10.8^2)))+EXP(-((B49-6.5)^2)/(2*(10.8^2))))</f>
        <v/>
      </c>
      <c r="I49" s="33">
        <f>17.27*(EXP(-((B49+6.5)^2)/(2*(10.8^2)))+EXP(-((B49-6.5)^2)/(2*(10.8^2))))</f>
        <v/>
      </c>
      <c r="J49" s="33">
        <f>23.03*(EXP(-((B49+6.5)^2)/(2*(10.8^2)))+EXP(-((B49-6.5)^2)/(2*(10.8^2))))</f>
        <v/>
      </c>
      <c r="K49" s="33">
        <f>(0.01*(3.15^2)*(4*(1-0.35)*18/(B49^2+324))*EXP(-1.38*(B49^2)/(21.15^2)))*1000</f>
        <v/>
      </c>
      <c r="L49" s="33">
        <f>ABS(H50-H48)/2</f>
        <v/>
      </c>
    </row>
    <row r="50">
      <c r="B50" s="11" t="n">
        <v>-6</v>
      </c>
      <c r="C50" s="32">
        <f>5.76*EXP(-(B50^2)/(2*(10.8^2)))</f>
        <v/>
      </c>
      <c r="D50" s="32">
        <f>11.51*EXP(-(B50^2)/(2*(10.8^2)))</f>
        <v/>
      </c>
      <c r="E50" s="32">
        <f>17.27*EXP(-(B50^2)/(2*(10.8^2)))</f>
        <v/>
      </c>
      <c r="F50" s="32">
        <f>23.03*EXP(-(B50^2)/(2*(10.8^2)))</f>
        <v/>
      </c>
      <c r="G50" s="32">
        <f>5.76*(EXP(-((B50+6.5)^2)/(2*(10.8^2)))+EXP(-((B50-6.5)^2)/(2*(10.8^2))))</f>
        <v/>
      </c>
      <c r="H50" s="32">
        <f>11.51*(EXP(-((B50+6.5)^2)/(2*(10.8^2)))+EXP(-((B50-6.5)^2)/(2*(10.8^2))))</f>
        <v/>
      </c>
      <c r="I50" s="32">
        <f>17.27*(EXP(-((B50+6.5)^2)/(2*(10.8^2)))+EXP(-((B50-6.5)^2)/(2*(10.8^2))))</f>
        <v/>
      </c>
      <c r="J50" s="32">
        <f>23.03*(EXP(-((B50+6.5)^2)/(2*(10.8^2)))+EXP(-((B50-6.5)^2)/(2*(10.8^2))))</f>
        <v/>
      </c>
      <c r="K50" s="32">
        <f>(0.01*(3.15^2)*(4*(1-0.35)*18/(B50^2+324))*EXP(-1.38*(B50^2)/(21.15^2)))*1000</f>
        <v/>
      </c>
      <c r="L50" s="32">
        <f>ABS(H51-H49)/2</f>
        <v/>
      </c>
    </row>
    <row r="51">
      <c r="B51" s="11" t="n">
        <v>-5</v>
      </c>
      <c r="C51" s="33">
        <f>5.76*EXP(-(B51^2)/(2*(10.8^2)))</f>
        <v/>
      </c>
      <c r="D51" s="33">
        <f>11.51*EXP(-(B51^2)/(2*(10.8^2)))</f>
        <v/>
      </c>
      <c r="E51" s="33">
        <f>17.27*EXP(-(B51^2)/(2*(10.8^2)))</f>
        <v/>
      </c>
      <c r="F51" s="33">
        <f>23.03*EXP(-(B51^2)/(2*(10.8^2)))</f>
        <v/>
      </c>
      <c r="G51" s="33">
        <f>5.76*(EXP(-((B51+6.5)^2)/(2*(10.8^2)))+EXP(-((B51-6.5)^2)/(2*(10.8^2))))</f>
        <v/>
      </c>
      <c r="H51" s="33">
        <f>11.51*(EXP(-((B51+6.5)^2)/(2*(10.8^2)))+EXP(-((B51-6.5)^2)/(2*(10.8^2))))</f>
        <v/>
      </c>
      <c r="I51" s="33">
        <f>17.27*(EXP(-((B51+6.5)^2)/(2*(10.8^2)))+EXP(-((B51-6.5)^2)/(2*(10.8^2))))</f>
        <v/>
      </c>
      <c r="J51" s="33">
        <f>23.03*(EXP(-((B51+6.5)^2)/(2*(10.8^2)))+EXP(-((B51-6.5)^2)/(2*(10.8^2))))</f>
        <v/>
      </c>
      <c r="K51" s="33">
        <f>(0.01*(3.15^2)*(4*(1-0.35)*18/(B51^2+324))*EXP(-1.38*(B51^2)/(21.15^2)))*1000</f>
        <v/>
      </c>
      <c r="L51" s="33">
        <f>ABS(H52-H50)/2</f>
        <v/>
      </c>
    </row>
    <row r="52">
      <c r="B52" s="11" t="n">
        <v>-4</v>
      </c>
      <c r="C52" s="32">
        <f>5.76*EXP(-(B52^2)/(2*(10.8^2)))</f>
        <v/>
      </c>
      <c r="D52" s="32">
        <f>11.51*EXP(-(B52^2)/(2*(10.8^2)))</f>
        <v/>
      </c>
      <c r="E52" s="32">
        <f>17.27*EXP(-(B52^2)/(2*(10.8^2)))</f>
        <v/>
      </c>
      <c r="F52" s="32">
        <f>23.03*EXP(-(B52^2)/(2*(10.8^2)))</f>
        <v/>
      </c>
      <c r="G52" s="32">
        <f>5.76*(EXP(-((B52+6.5)^2)/(2*(10.8^2)))+EXP(-((B52-6.5)^2)/(2*(10.8^2))))</f>
        <v/>
      </c>
      <c r="H52" s="32">
        <f>11.51*(EXP(-((B52+6.5)^2)/(2*(10.8^2)))+EXP(-((B52-6.5)^2)/(2*(10.8^2))))</f>
        <v/>
      </c>
      <c r="I52" s="32">
        <f>17.27*(EXP(-((B52+6.5)^2)/(2*(10.8^2)))+EXP(-((B52-6.5)^2)/(2*(10.8^2))))</f>
        <v/>
      </c>
      <c r="J52" s="32">
        <f>23.03*(EXP(-((B52+6.5)^2)/(2*(10.8^2)))+EXP(-((B52-6.5)^2)/(2*(10.8^2))))</f>
        <v/>
      </c>
      <c r="K52" s="32">
        <f>(0.01*(3.15^2)*(4*(1-0.35)*18/(B52^2+324))*EXP(-1.38*(B52^2)/(21.15^2)))*1000</f>
        <v/>
      </c>
      <c r="L52" s="32">
        <f>ABS(H53-H51)/2</f>
        <v/>
      </c>
    </row>
    <row r="53">
      <c r="B53" s="11" t="n">
        <v>-3</v>
      </c>
      <c r="C53" s="33">
        <f>5.76*EXP(-(B53^2)/(2*(10.8^2)))</f>
        <v/>
      </c>
      <c r="D53" s="33">
        <f>11.51*EXP(-(B53^2)/(2*(10.8^2)))</f>
        <v/>
      </c>
      <c r="E53" s="33">
        <f>17.27*EXP(-(B53^2)/(2*(10.8^2)))</f>
        <v/>
      </c>
      <c r="F53" s="33">
        <f>23.03*EXP(-(B53^2)/(2*(10.8^2)))</f>
        <v/>
      </c>
      <c r="G53" s="33">
        <f>5.76*(EXP(-((B53+6.5)^2)/(2*(10.8^2)))+EXP(-((B53-6.5)^2)/(2*(10.8^2))))</f>
        <v/>
      </c>
      <c r="H53" s="33">
        <f>11.51*(EXP(-((B53+6.5)^2)/(2*(10.8^2)))+EXP(-((B53-6.5)^2)/(2*(10.8^2))))</f>
        <v/>
      </c>
      <c r="I53" s="33">
        <f>17.27*(EXP(-((B53+6.5)^2)/(2*(10.8^2)))+EXP(-((B53-6.5)^2)/(2*(10.8^2))))</f>
        <v/>
      </c>
      <c r="J53" s="33">
        <f>23.03*(EXP(-((B53+6.5)^2)/(2*(10.8^2)))+EXP(-((B53-6.5)^2)/(2*(10.8^2))))</f>
        <v/>
      </c>
      <c r="K53" s="33">
        <f>(0.01*(3.15^2)*(4*(1-0.35)*18/(B53^2+324))*EXP(-1.38*(B53^2)/(21.15^2)))*1000</f>
        <v/>
      </c>
      <c r="L53" s="33">
        <f>ABS(H54-H52)/2</f>
        <v/>
      </c>
    </row>
    <row r="54">
      <c r="B54" s="11" t="n">
        <v>-2</v>
      </c>
      <c r="C54" s="32">
        <f>5.76*EXP(-(B54^2)/(2*(10.8^2)))</f>
        <v/>
      </c>
      <c r="D54" s="32">
        <f>11.51*EXP(-(B54^2)/(2*(10.8^2)))</f>
        <v/>
      </c>
      <c r="E54" s="32">
        <f>17.27*EXP(-(B54^2)/(2*(10.8^2)))</f>
        <v/>
      </c>
      <c r="F54" s="32">
        <f>23.03*EXP(-(B54^2)/(2*(10.8^2)))</f>
        <v/>
      </c>
      <c r="G54" s="32">
        <f>5.76*(EXP(-((B54+6.5)^2)/(2*(10.8^2)))+EXP(-((B54-6.5)^2)/(2*(10.8^2))))</f>
        <v/>
      </c>
      <c r="H54" s="32">
        <f>11.51*(EXP(-((B54+6.5)^2)/(2*(10.8^2)))+EXP(-((B54-6.5)^2)/(2*(10.8^2))))</f>
        <v/>
      </c>
      <c r="I54" s="32">
        <f>17.27*(EXP(-((B54+6.5)^2)/(2*(10.8^2)))+EXP(-((B54-6.5)^2)/(2*(10.8^2))))</f>
        <v/>
      </c>
      <c r="J54" s="32">
        <f>23.03*(EXP(-((B54+6.5)^2)/(2*(10.8^2)))+EXP(-((B54-6.5)^2)/(2*(10.8^2))))</f>
        <v/>
      </c>
      <c r="K54" s="32">
        <f>(0.01*(3.15^2)*(4*(1-0.35)*18/(B54^2+324))*EXP(-1.38*(B54^2)/(21.15^2)))*1000</f>
        <v/>
      </c>
      <c r="L54" s="32">
        <f>ABS(H55-H53)/2</f>
        <v/>
      </c>
    </row>
    <row r="55">
      <c r="B55" s="11" t="n">
        <v>-1</v>
      </c>
      <c r="C55" s="33">
        <f>5.76*EXP(-(B55^2)/(2*(10.8^2)))</f>
        <v/>
      </c>
      <c r="D55" s="33">
        <f>11.51*EXP(-(B55^2)/(2*(10.8^2)))</f>
        <v/>
      </c>
      <c r="E55" s="33">
        <f>17.27*EXP(-(B55^2)/(2*(10.8^2)))</f>
        <v/>
      </c>
      <c r="F55" s="33">
        <f>23.03*EXP(-(B55^2)/(2*(10.8^2)))</f>
        <v/>
      </c>
      <c r="G55" s="33">
        <f>5.76*(EXP(-((B55+6.5)^2)/(2*(10.8^2)))+EXP(-((B55-6.5)^2)/(2*(10.8^2))))</f>
        <v/>
      </c>
      <c r="H55" s="33">
        <f>11.51*(EXP(-((B55+6.5)^2)/(2*(10.8^2)))+EXP(-((B55-6.5)^2)/(2*(10.8^2))))</f>
        <v/>
      </c>
      <c r="I55" s="33">
        <f>17.27*(EXP(-((B55+6.5)^2)/(2*(10.8^2)))+EXP(-((B55-6.5)^2)/(2*(10.8^2))))</f>
        <v/>
      </c>
      <c r="J55" s="33">
        <f>23.03*(EXP(-((B55+6.5)^2)/(2*(10.8^2)))+EXP(-((B55-6.5)^2)/(2*(10.8^2))))</f>
        <v/>
      </c>
      <c r="K55" s="33">
        <f>(0.01*(3.15^2)*(4*(1-0.35)*18/(B55^2+324))*EXP(-1.38*(B55^2)/(21.15^2)))*1000</f>
        <v/>
      </c>
      <c r="L55" s="33">
        <f>ABS(H56-H54)/2</f>
        <v/>
      </c>
    </row>
    <row r="56">
      <c r="B56" s="11" t="n">
        <v>0</v>
      </c>
      <c r="C56" s="32">
        <f>5.76*EXP(-(B56^2)/(2*(10.8^2)))</f>
        <v/>
      </c>
      <c r="D56" s="32">
        <f>11.51*EXP(-(B56^2)/(2*(10.8^2)))</f>
        <v/>
      </c>
      <c r="E56" s="32">
        <f>17.27*EXP(-(B56^2)/(2*(10.8^2)))</f>
        <v/>
      </c>
      <c r="F56" s="32">
        <f>23.03*EXP(-(B56^2)/(2*(10.8^2)))</f>
        <v/>
      </c>
      <c r="G56" s="32">
        <f>5.76*(EXP(-((B56+6.5)^2)/(2*(10.8^2)))+EXP(-((B56-6.5)^2)/(2*(10.8^2))))</f>
        <v/>
      </c>
      <c r="H56" s="32">
        <f>11.51*(EXP(-((B56+6.5)^2)/(2*(10.8^2)))+EXP(-((B56-6.5)^2)/(2*(10.8^2))))</f>
        <v/>
      </c>
      <c r="I56" s="32">
        <f>17.27*(EXP(-((B56+6.5)^2)/(2*(10.8^2)))+EXP(-((B56-6.5)^2)/(2*(10.8^2))))</f>
        <v/>
      </c>
      <c r="J56" s="32">
        <f>23.03*(EXP(-((B56+6.5)^2)/(2*(10.8^2)))+EXP(-((B56-6.5)^2)/(2*(10.8^2))))</f>
        <v/>
      </c>
      <c r="K56" s="32">
        <f>(0.01*(3.15^2)*(4*(1-0.35)*18/(B56^2+324))*EXP(-1.38*(B56^2)/(21.15^2)))*1000</f>
        <v/>
      </c>
      <c r="L56" s="32">
        <f>ABS(H57-H55)/2</f>
        <v/>
      </c>
    </row>
    <row r="57">
      <c r="B57" s="11" t="n">
        <v>1</v>
      </c>
      <c r="C57" s="33">
        <f>5.76*EXP(-(B57^2)/(2*(10.8^2)))</f>
        <v/>
      </c>
      <c r="D57" s="33">
        <f>11.51*EXP(-(B57^2)/(2*(10.8^2)))</f>
        <v/>
      </c>
      <c r="E57" s="33">
        <f>17.27*EXP(-(B57^2)/(2*(10.8^2)))</f>
        <v/>
      </c>
      <c r="F57" s="33">
        <f>23.03*EXP(-(B57^2)/(2*(10.8^2)))</f>
        <v/>
      </c>
      <c r="G57" s="33">
        <f>5.76*(EXP(-((B57+6.5)^2)/(2*(10.8^2)))+EXP(-((B57-6.5)^2)/(2*(10.8^2))))</f>
        <v/>
      </c>
      <c r="H57" s="33">
        <f>11.51*(EXP(-((B57+6.5)^2)/(2*(10.8^2)))+EXP(-((B57-6.5)^2)/(2*(10.8^2))))</f>
        <v/>
      </c>
      <c r="I57" s="33">
        <f>17.27*(EXP(-((B57+6.5)^2)/(2*(10.8^2)))+EXP(-((B57-6.5)^2)/(2*(10.8^2))))</f>
        <v/>
      </c>
      <c r="J57" s="33">
        <f>23.03*(EXP(-((B57+6.5)^2)/(2*(10.8^2)))+EXP(-((B57-6.5)^2)/(2*(10.8^2))))</f>
        <v/>
      </c>
      <c r="K57" s="33">
        <f>(0.01*(3.15^2)*(4*(1-0.35)*18/(B57^2+324))*EXP(-1.38*(B57^2)/(21.15^2)))*1000</f>
        <v/>
      </c>
      <c r="L57" s="33">
        <f>ABS(H58-H56)/2</f>
        <v/>
      </c>
    </row>
    <row r="58">
      <c r="B58" s="11" t="n">
        <v>2</v>
      </c>
      <c r="C58" s="32">
        <f>5.76*EXP(-(B58^2)/(2*(10.8^2)))</f>
        <v/>
      </c>
      <c r="D58" s="32">
        <f>11.51*EXP(-(B58^2)/(2*(10.8^2)))</f>
        <v/>
      </c>
      <c r="E58" s="32">
        <f>17.27*EXP(-(B58^2)/(2*(10.8^2)))</f>
        <v/>
      </c>
      <c r="F58" s="32">
        <f>23.03*EXP(-(B58^2)/(2*(10.8^2)))</f>
        <v/>
      </c>
      <c r="G58" s="32">
        <f>5.76*(EXP(-((B58+6.5)^2)/(2*(10.8^2)))+EXP(-((B58-6.5)^2)/(2*(10.8^2))))</f>
        <v/>
      </c>
      <c r="H58" s="32">
        <f>11.51*(EXP(-((B58+6.5)^2)/(2*(10.8^2)))+EXP(-((B58-6.5)^2)/(2*(10.8^2))))</f>
        <v/>
      </c>
      <c r="I58" s="32">
        <f>17.27*(EXP(-((B58+6.5)^2)/(2*(10.8^2)))+EXP(-((B58-6.5)^2)/(2*(10.8^2))))</f>
        <v/>
      </c>
      <c r="J58" s="32">
        <f>23.03*(EXP(-((B58+6.5)^2)/(2*(10.8^2)))+EXP(-((B58-6.5)^2)/(2*(10.8^2))))</f>
        <v/>
      </c>
      <c r="K58" s="32">
        <f>(0.01*(3.15^2)*(4*(1-0.35)*18/(B58^2+324))*EXP(-1.38*(B58^2)/(21.15^2)))*1000</f>
        <v/>
      </c>
      <c r="L58" s="32">
        <f>ABS(H59-H57)/2</f>
        <v/>
      </c>
    </row>
    <row r="59">
      <c r="B59" s="11" t="n">
        <v>3</v>
      </c>
      <c r="C59" s="33">
        <f>5.76*EXP(-(B59^2)/(2*(10.8^2)))</f>
        <v/>
      </c>
      <c r="D59" s="33">
        <f>11.51*EXP(-(B59^2)/(2*(10.8^2)))</f>
        <v/>
      </c>
      <c r="E59" s="33">
        <f>17.27*EXP(-(B59^2)/(2*(10.8^2)))</f>
        <v/>
      </c>
      <c r="F59" s="33">
        <f>23.03*EXP(-(B59^2)/(2*(10.8^2)))</f>
        <v/>
      </c>
      <c r="G59" s="33">
        <f>5.76*(EXP(-((B59+6.5)^2)/(2*(10.8^2)))+EXP(-((B59-6.5)^2)/(2*(10.8^2))))</f>
        <v/>
      </c>
      <c r="H59" s="33">
        <f>11.51*(EXP(-((B59+6.5)^2)/(2*(10.8^2)))+EXP(-((B59-6.5)^2)/(2*(10.8^2))))</f>
        <v/>
      </c>
      <c r="I59" s="33">
        <f>17.27*(EXP(-((B59+6.5)^2)/(2*(10.8^2)))+EXP(-((B59-6.5)^2)/(2*(10.8^2))))</f>
        <v/>
      </c>
      <c r="J59" s="33">
        <f>23.03*(EXP(-((B59+6.5)^2)/(2*(10.8^2)))+EXP(-((B59-6.5)^2)/(2*(10.8^2))))</f>
        <v/>
      </c>
      <c r="K59" s="33">
        <f>(0.01*(3.15^2)*(4*(1-0.35)*18/(B59^2+324))*EXP(-1.38*(B59^2)/(21.15^2)))*1000</f>
        <v/>
      </c>
      <c r="L59" s="33">
        <f>ABS(H60-H58)/2</f>
        <v/>
      </c>
    </row>
    <row r="60">
      <c r="B60" s="11" t="n">
        <v>4</v>
      </c>
      <c r="C60" s="32">
        <f>5.76*EXP(-(B60^2)/(2*(10.8^2)))</f>
        <v/>
      </c>
      <c r="D60" s="32">
        <f>11.51*EXP(-(B60^2)/(2*(10.8^2)))</f>
        <v/>
      </c>
      <c r="E60" s="32">
        <f>17.27*EXP(-(B60^2)/(2*(10.8^2)))</f>
        <v/>
      </c>
      <c r="F60" s="32">
        <f>23.03*EXP(-(B60^2)/(2*(10.8^2)))</f>
        <v/>
      </c>
      <c r="G60" s="32">
        <f>5.76*(EXP(-((B60+6.5)^2)/(2*(10.8^2)))+EXP(-((B60-6.5)^2)/(2*(10.8^2))))</f>
        <v/>
      </c>
      <c r="H60" s="32">
        <f>11.51*(EXP(-((B60+6.5)^2)/(2*(10.8^2)))+EXP(-((B60-6.5)^2)/(2*(10.8^2))))</f>
        <v/>
      </c>
      <c r="I60" s="32">
        <f>17.27*(EXP(-((B60+6.5)^2)/(2*(10.8^2)))+EXP(-((B60-6.5)^2)/(2*(10.8^2))))</f>
        <v/>
      </c>
      <c r="J60" s="32">
        <f>23.03*(EXP(-((B60+6.5)^2)/(2*(10.8^2)))+EXP(-((B60-6.5)^2)/(2*(10.8^2))))</f>
        <v/>
      </c>
      <c r="K60" s="32">
        <f>(0.01*(3.15^2)*(4*(1-0.35)*18/(B60^2+324))*EXP(-1.38*(B60^2)/(21.15^2)))*1000</f>
        <v/>
      </c>
      <c r="L60" s="32">
        <f>ABS(H61-H59)/2</f>
        <v/>
      </c>
    </row>
    <row r="61">
      <c r="B61" s="11" t="n">
        <v>5</v>
      </c>
      <c r="C61" s="33">
        <f>5.76*EXP(-(B61^2)/(2*(10.8^2)))</f>
        <v/>
      </c>
      <c r="D61" s="33">
        <f>11.51*EXP(-(B61^2)/(2*(10.8^2)))</f>
        <v/>
      </c>
      <c r="E61" s="33">
        <f>17.27*EXP(-(B61^2)/(2*(10.8^2)))</f>
        <v/>
      </c>
      <c r="F61" s="33">
        <f>23.03*EXP(-(B61^2)/(2*(10.8^2)))</f>
        <v/>
      </c>
      <c r="G61" s="33">
        <f>5.76*(EXP(-((B61+6.5)^2)/(2*(10.8^2)))+EXP(-((B61-6.5)^2)/(2*(10.8^2))))</f>
        <v/>
      </c>
      <c r="H61" s="33">
        <f>11.51*(EXP(-((B61+6.5)^2)/(2*(10.8^2)))+EXP(-((B61-6.5)^2)/(2*(10.8^2))))</f>
        <v/>
      </c>
      <c r="I61" s="33">
        <f>17.27*(EXP(-((B61+6.5)^2)/(2*(10.8^2)))+EXP(-((B61-6.5)^2)/(2*(10.8^2))))</f>
        <v/>
      </c>
      <c r="J61" s="33">
        <f>23.03*(EXP(-((B61+6.5)^2)/(2*(10.8^2)))+EXP(-((B61-6.5)^2)/(2*(10.8^2))))</f>
        <v/>
      </c>
      <c r="K61" s="33">
        <f>(0.01*(3.15^2)*(4*(1-0.35)*18/(B61^2+324))*EXP(-1.38*(B61^2)/(21.15^2)))*1000</f>
        <v/>
      </c>
      <c r="L61" s="33">
        <f>ABS(H62-H60)/2</f>
        <v/>
      </c>
    </row>
    <row r="62">
      <c r="B62" s="11" t="n">
        <v>6</v>
      </c>
      <c r="C62" s="32">
        <f>5.76*EXP(-(B62^2)/(2*(10.8^2)))</f>
        <v/>
      </c>
      <c r="D62" s="32">
        <f>11.51*EXP(-(B62^2)/(2*(10.8^2)))</f>
        <v/>
      </c>
      <c r="E62" s="32">
        <f>17.27*EXP(-(B62^2)/(2*(10.8^2)))</f>
        <v/>
      </c>
      <c r="F62" s="32">
        <f>23.03*EXP(-(B62^2)/(2*(10.8^2)))</f>
        <v/>
      </c>
      <c r="G62" s="32">
        <f>5.76*(EXP(-((B62+6.5)^2)/(2*(10.8^2)))+EXP(-((B62-6.5)^2)/(2*(10.8^2))))</f>
        <v/>
      </c>
      <c r="H62" s="32">
        <f>11.51*(EXP(-((B62+6.5)^2)/(2*(10.8^2)))+EXP(-((B62-6.5)^2)/(2*(10.8^2))))</f>
        <v/>
      </c>
      <c r="I62" s="32">
        <f>17.27*(EXP(-((B62+6.5)^2)/(2*(10.8^2)))+EXP(-((B62-6.5)^2)/(2*(10.8^2))))</f>
        <v/>
      </c>
      <c r="J62" s="32">
        <f>23.03*(EXP(-((B62+6.5)^2)/(2*(10.8^2)))+EXP(-((B62-6.5)^2)/(2*(10.8^2))))</f>
        <v/>
      </c>
      <c r="K62" s="32">
        <f>(0.01*(3.15^2)*(4*(1-0.35)*18/(B62^2+324))*EXP(-1.38*(B62^2)/(21.15^2)))*1000</f>
        <v/>
      </c>
      <c r="L62" s="32">
        <f>ABS(H63-H61)/2</f>
        <v/>
      </c>
    </row>
    <row r="63">
      <c r="B63" s="11" t="n">
        <v>7</v>
      </c>
      <c r="C63" s="33">
        <f>5.76*EXP(-(B63^2)/(2*(10.8^2)))</f>
        <v/>
      </c>
      <c r="D63" s="33">
        <f>11.51*EXP(-(B63^2)/(2*(10.8^2)))</f>
        <v/>
      </c>
      <c r="E63" s="33">
        <f>17.27*EXP(-(B63^2)/(2*(10.8^2)))</f>
        <v/>
      </c>
      <c r="F63" s="33">
        <f>23.03*EXP(-(B63^2)/(2*(10.8^2)))</f>
        <v/>
      </c>
      <c r="G63" s="33">
        <f>5.76*(EXP(-((B63+6.5)^2)/(2*(10.8^2)))+EXP(-((B63-6.5)^2)/(2*(10.8^2))))</f>
        <v/>
      </c>
      <c r="H63" s="33">
        <f>11.51*(EXP(-((B63+6.5)^2)/(2*(10.8^2)))+EXP(-((B63-6.5)^2)/(2*(10.8^2))))</f>
        <v/>
      </c>
      <c r="I63" s="33">
        <f>17.27*(EXP(-((B63+6.5)^2)/(2*(10.8^2)))+EXP(-((B63-6.5)^2)/(2*(10.8^2))))</f>
        <v/>
      </c>
      <c r="J63" s="33">
        <f>23.03*(EXP(-((B63+6.5)^2)/(2*(10.8^2)))+EXP(-((B63-6.5)^2)/(2*(10.8^2))))</f>
        <v/>
      </c>
      <c r="K63" s="33">
        <f>(0.01*(3.15^2)*(4*(1-0.35)*18/(B63^2+324))*EXP(-1.38*(B63^2)/(21.15^2)))*1000</f>
        <v/>
      </c>
      <c r="L63" s="33">
        <f>ABS(H64-H62)/2</f>
        <v/>
      </c>
    </row>
    <row r="64">
      <c r="B64" s="11" t="n">
        <v>8</v>
      </c>
      <c r="C64" s="32">
        <f>5.76*EXP(-(B64^2)/(2*(10.8^2)))</f>
        <v/>
      </c>
      <c r="D64" s="32">
        <f>11.51*EXP(-(B64^2)/(2*(10.8^2)))</f>
        <v/>
      </c>
      <c r="E64" s="32">
        <f>17.27*EXP(-(B64^2)/(2*(10.8^2)))</f>
        <v/>
      </c>
      <c r="F64" s="32">
        <f>23.03*EXP(-(B64^2)/(2*(10.8^2)))</f>
        <v/>
      </c>
      <c r="G64" s="32">
        <f>5.76*(EXP(-((B64+6.5)^2)/(2*(10.8^2)))+EXP(-((B64-6.5)^2)/(2*(10.8^2))))</f>
        <v/>
      </c>
      <c r="H64" s="32">
        <f>11.51*(EXP(-((B64+6.5)^2)/(2*(10.8^2)))+EXP(-((B64-6.5)^2)/(2*(10.8^2))))</f>
        <v/>
      </c>
      <c r="I64" s="32">
        <f>17.27*(EXP(-((B64+6.5)^2)/(2*(10.8^2)))+EXP(-((B64-6.5)^2)/(2*(10.8^2))))</f>
        <v/>
      </c>
      <c r="J64" s="32">
        <f>23.03*(EXP(-((B64+6.5)^2)/(2*(10.8^2)))+EXP(-((B64-6.5)^2)/(2*(10.8^2))))</f>
        <v/>
      </c>
      <c r="K64" s="32">
        <f>(0.01*(3.15^2)*(4*(1-0.35)*18/(B64^2+324))*EXP(-1.38*(B64^2)/(21.15^2)))*1000</f>
        <v/>
      </c>
      <c r="L64" s="32">
        <f>ABS(H65-H63)/2</f>
        <v/>
      </c>
    </row>
    <row r="65">
      <c r="B65" s="11" t="n">
        <v>9</v>
      </c>
      <c r="C65" s="33">
        <f>5.76*EXP(-(B65^2)/(2*(10.8^2)))</f>
        <v/>
      </c>
      <c r="D65" s="33">
        <f>11.51*EXP(-(B65^2)/(2*(10.8^2)))</f>
        <v/>
      </c>
      <c r="E65" s="33">
        <f>17.27*EXP(-(B65^2)/(2*(10.8^2)))</f>
        <v/>
      </c>
      <c r="F65" s="33">
        <f>23.03*EXP(-(B65^2)/(2*(10.8^2)))</f>
        <v/>
      </c>
      <c r="G65" s="33">
        <f>5.76*(EXP(-((B65+6.5)^2)/(2*(10.8^2)))+EXP(-((B65-6.5)^2)/(2*(10.8^2))))</f>
        <v/>
      </c>
      <c r="H65" s="33">
        <f>11.51*(EXP(-((B65+6.5)^2)/(2*(10.8^2)))+EXP(-((B65-6.5)^2)/(2*(10.8^2))))</f>
        <v/>
      </c>
      <c r="I65" s="33">
        <f>17.27*(EXP(-((B65+6.5)^2)/(2*(10.8^2)))+EXP(-((B65-6.5)^2)/(2*(10.8^2))))</f>
        <v/>
      </c>
      <c r="J65" s="33">
        <f>23.03*(EXP(-((B65+6.5)^2)/(2*(10.8^2)))+EXP(-((B65-6.5)^2)/(2*(10.8^2))))</f>
        <v/>
      </c>
      <c r="K65" s="33">
        <f>(0.01*(3.15^2)*(4*(1-0.35)*18/(B65^2+324))*EXP(-1.38*(B65^2)/(21.15^2)))*1000</f>
        <v/>
      </c>
      <c r="L65" s="33">
        <f>ABS(H66-H64)/2</f>
        <v/>
      </c>
    </row>
    <row r="66">
      <c r="B66" s="11" t="n">
        <v>10</v>
      </c>
      <c r="C66" s="32">
        <f>5.76*EXP(-(B66^2)/(2*(10.8^2)))</f>
        <v/>
      </c>
      <c r="D66" s="32">
        <f>11.51*EXP(-(B66^2)/(2*(10.8^2)))</f>
        <v/>
      </c>
      <c r="E66" s="32">
        <f>17.27*EXP(-(B66^2)/(2*(10.8^2)))</f>
        <v/>
      </c>
      <c r="F66" s="32">
        <f>23.03*EXP(-(B66^2)/(2*(10.8^2)))</f>
        <v/>
      </c>
      <c r="G66" s="32">
        <f>5.76*(EXP(-((B66+6.5)^2)/(2*(10.8^2)))+EXP(-((B66-6.5)^2)/(2*(10.8^2))))</f>
        <v/>
      </c>
      <c r="H66" s="32">
        <f>11.51*(EXP(-((B66+6.5)^2)/(2*(10.8^2)))+EXP(-((B66-6.5)^2)/(2*(10.8^2))))</f>
        <v/>
      </c>
      <c r="I66" s="32">
        <f>17.27*(EXP(-((B66+6.5)^2)/(2*(10.8^2)))+EXP(-((B66-6.5)^2)/(2*(10.8^2))))</f>
        <v/>
      </c>
      <c r="J66" s="32">
        <f>23.03*(EXP(-((B66+6.5)^2)/(2*(10.8^2)))+EXP(-((B66-6.5)^2)/(2*(10.8^2))))</f>
        <v/>
      </c>
      <c r="K66" s="32">
        <f>(0.01*(3.15^2)*(4*(1-0.35)*18/(B66^2+324))*EXP(-1.38*(B66^2)/(21.15^2)))*1000</f>
        <v/>
      </c>
      <c r="L66" s="32">
        <f>ABS(H67-H65)/2</f>
        <v/>
      </c>
    </row>
    <row r="67">
      <c r="B67" s="11" t="n">
        <v>11</v>
      </c>
      <c r="C67" s="33">
        <f>5.76*EXP(-(B67^2)/(2*(10.8^2)))</f>
        <v/>
      </c>
      <c r="D67" s="33">
        <f>11.51*EXP(-(B67^2)/(2*(10.8^2)))</f>
        <v/>
      </c>
      <c r="E67" s="33">
        <f>17.27*EXP(-(B67^2)/(2*(10.8^2)))</f>
        <v/>
      </c>
      <c r="F67" s="33">
        <f>23.03*EXP(-(B67^2)/(2*(10.8^2)))</f>
        <v/>
      </c>
      <c r="G67" s="33">
        <f>5.76*(EXP(-((B67+6.5)^2)/(2*(10.8^2)))+EXP(-((B67-6.5)^2)/(2*(10.8^2))))</f>
        <v/>
      </c>
      <c r="H67" s="33">
        <f>11.51*(EXP(-((B67+6.5)^2)/(2*(10.8^2)))+EXP(-((B67-6.5)^2)/(2*(10.8^2))))</f>
        <v/>
      </c>
      <c r="I67" s="33">
        <f>17.27*(EXP(-((B67+6.5)^2)/(2*(10.8^2)))+EXP(-((B67-6.5)^2)/(2*(10.8^2))))</f>
        <v/>
      </c>
      <c r="J67" s="33">
        <f>23.03*(EXP(-((B67+6.5)^2)/(2*(10.8^2)))+EXP(-((B67-6.5)^2)/(2*(10.8^2))))</f>
        <v/>
      </c>
      <c r="K67" s="33">
        <f>(0.01*(3.15^2)*(4*(1-0.35)*18/(B67^2+324))*EXP(-1.38*(B67^2)/(21.15^2)))*1000</f>
        <v/>
      </c>
      <c r="L67" s="33">
        <f>ABS(H68-H66)/2</f>
        <v/>
      </c>
    </row>
    <row r="68">
      <c r="B68" s="11" t="n">
        <v>12</v>
      </c>
      <c r="C68" s="32">
        <f>5.76*EXP(-(B68^2)/(2*(10.8^2)))</f>
        <v/>
      </c>
      <c r="D68" s="32">
        <f>11.51*EXP(-(B68^2)/(2*(10.8^2)))</f>
        <v/>
      </c>
      <c r="E68" s="32">
        <f>17.27*EXP(-(B68^2)/(2*(10.8^2)))</f>
        <v/>
      </c>
      <c r="F68" s="32">
        <f>23.03*EXP(-(B68^2)/(2*(10.8^2)))</f>
        <v/>
      </c>
      <c r="G68" s="32">
        <f>5.76*(EXP(-((B68+6.5)^2)/(2*(10.8^2)))+EXP(-((B68-6.5)^2)/(2*(10.8^2))))</f>
        <v/>
      </c>
      <c r="H68" s="32">
        <f>11.51*(EXP(-((B68+6.5)^2)/(2*(10.8^2)))+EXP(-((B68-6.5)^2)/(2*(10.8^2))))</f>
        <v/>
      </c>
      <c r="I68" s="32">
        <f>17.27*(EXP(-((B68+6.5)^2)/(2*(10.8^2)))+EXP(-((B68-6.5)^2)/(2*(10.8^2))))</f>
        <v/>
      </c>
      <c r="J68" s="32">
        <f>23.03*(EXP(-((B68+6.5)^2)/(2*(10.8^2)))+EXP(-((B68-6.5)^2)/(2*(10.8^2))))</f>
        <v/>
      </c>
      <c r="K68" s="32">
        <f>(0.01*(3.15^2)*(4*(1-0.35)*18/(B68^2+324))*EXP(-1.38*(B68^2)/(21.15^2)))*1000</f>
        <v/>
      </c>
      <c r="L68" s="32">
        <f>ABS(H69-H67)/2</f>
        <v/>
      </c>
    </row>
    <row r="69">
      <c r="B69" s="11" t="n">
        <v>13</v>
      </c>
      <c r="C69" s="33">
        <f>5.76*EXP(-(B69^2)/(2*(10.8^2)))</f>
        <v/>
      </c>
      <c r="D69" s="33">
        <f>11.51*EXP(-(B69^2)/(2*(10.8^2)))</f>
        <v/>
      </c>
      <c r="E69" s="33">
        <f>17.27*EXP(-(B69^2)/(2*(10.8^2)))</f>
        <v/>
      </c>
      <c r="F69" s="33">
        <f>23.03*EXP(-(B69^2)/(2*(10.8^2)))</f>
        <v/>
      </c>
      <c r="G69" s="33">
        <f>5.76*(EXP(-((B69+6.5)^2)/(2*(10.8^2)))+EXP(-((B69-6.5)^2)/(2*(10.8^2))))</f>
        <v/>
      </c>
      <c r="H69" s="33">
        <f>11.51*(EXP(-((B69+6.5)^2)/(2*(10.8^2)))+EXP(-((B69-6.5)^2)/(2*(10.8^2))))</f>
        <v/>
      </c>
      <c r="I69" s="33">
        <f>17.27*(EXP(-((B69+6.5)^2)/(2*(10.8^2)))+EXP(-((B69-6.5)^2)/(2*(10.8^2))))</f>
        <v/>
      </c>
      <c r="J69" s="33">
        <f>23.03*(EXP(-((B69+6.5)^2)/(2*(10.8^2)))+EXP(-((B69-6.5)^2)/(2*(10.8^2))))</f>
        <v/>
      </c>
      <c r="K69" s="33">
        <f>(0.01*(3.15^2)*(4*(1-0.35)*18/(B69^2+324))*EXP(-1.38*(B69^2)/(21.15^2)))*1000</f>
        <v/>
      </c>
      <c r="L69" s="33">
        <f>ABS(H70-H68)/2</f>
        <v/>
      </c>
    </row>
    <row r="70">
      <c r="B70" s="11" t="n">
        <v>14</v>
      </c>
      <c r="C70" s="32">
        <f>5.76*EXP(-(B70^2)/(2*(10.8^2)))</f>
        <v/>
      </c>
      <c r="D70" s="32">
        <f>11.51*EXP(-(B70^2)/(2*(10.8^2)))</f>
        <v/>
      </c>
      <c r="E70" s="32">
        <f>17.27*EXP(-(B70^2)/(2*(10.8^2)))</f>
        <v/>
      </c>
      <c r="F70" s="32">
        <f>23.03*EXP(-(B70^2)/(2*(10.8^2)))</f>
        <v/>
      </c>
      <c r="G70" s="32">
        <f>5.76*(EXP(-((B70+6.5)^2)/(2*(10.8^2)))+EXP(-((B70-6.5)^2)/(2*(10.8^2))))</f>
        <v/>
      </c>
      <c r="H70" s="32">
        <f>11.51*(EXP(-((B70+6.5)^2)/(2*(10.8^2)))+EXP(-((B70-6.5)^2)/(2*(10.8^2))))</f>
        <v/>
      </c>
      <c r="I70" s="32">
        <f>17.27*(EXP(-((B70+6.5)^2)/(2*(10.8^2)))+EXP(-((B70-6.5)^2)/(2*(10.8^2))))</f>
        <v/>
      </c>
      <c r="J70" s="32">
        <f>23.03*(EXP(-((B70+6.5)^2)/(2*(10.8^2)))+EXP(-((B70-6.5)^2)/(2*(10.8^2))))</f>
        <v/>
      </c>
      <c r="K70" s="32">
        <f>(0.01*(3.15^2)*(4*(1-0.35)*18/(B70^2+324))*EXP(-1.38*(B70^2)/(21.15^2)))*1000</f>
        <v/>
      </c>
      <c r="L70" s="32">
        <f>ABS(H71-H69)/2</f>
        <v/>
      </c>
    </row>
    <row r="71">
      <c r="B71" s="11" t="n">
        <v>15</v>
      </c>
      <c r="C71" s="33">
        <f>5.76*EXP(-(B71^2)/(2*(10.8^2)))</f>
        <v/>
      </c>
      <c r="D71" s="33">
        <f>11.51*EXP(-(B71^2)/(2*(10.8^2)))</f>
        <v/>
      </c>
      <c r="E71" s="33">
        <f>17.27*EXP(-(B71^2)/(2*(10.8^2)))</f>
        <v/>
      </c>
      <c r="F71" s="33">
        <f>23.03*EXP(-(B71^2)/(2*(10.8^2)))</f>
        <v/>
      </c>
      <c r="G71" s="33">
        <f>5.76*(EXP(-((B71+6.5)^2)/(2*(10.8^2)))+EXP(-((B71-6.5)^2)/(2*(10.8^2))))</f>
        <v/>
      </c>
      <c r="H71" s="33">
        <f>11.51*(EXP(-((B71+6.5)^2)/(2*(10.8^2)))+EXP(-((B71-6.5)^2)/(2*(10.8^2))))</f>
        <v/>
      </c>
      <c r="I71" s="33">
        <f>17.27*(EXP(-((B71+6.5)^2)/(2*(10.8^2)))+EXP(-((B71-6.5)^2)/(2*(10.8^2))))</f>
        <v/>
      </c>
      <c r="J71" s="33">
        <f>23.03*(EXP(-((B71+6.5)^2)/(2*(10.8^2)))+EXP(-((B71-6.5)^2)/(2*(10.8^2))))</f>
        <v/>
      </c>
      <c r="K71" s="33">
        <f>(0.01*(3.15^2)*(4*(1-0.35)*18/(B71^2+324))*EXP(-1.38*(B71^2)/(21.15^2)))*1000</f>
        <v/>
      </c>
      <c r="L71" s="33">
        <f>ABS(H72-H70)/2</f>
        <v/>
      </c>
    </row>
    <row r="72">
      <c r="B72" s="11" t="n">
        <v>16</v>
      </c>
      <c r="C72" s="32">
        <f>5.76*EXP(-(B72^2)/(2*(10.8^2)))</f>
        <v/>
      </c>
      <c r="D72" s="32">
        <f>11.51*EXP(-(B72^2)/(2*(10.8^2)))</f>
        <v/>
      </c>
      <c r="E72" s="32">
        <f>17.27*EXP(-(B72^2)/(2*(10.8^2)))</f>
        <v/>
      </c>
      <c r="F72" s="32">
        <f>23.03*EXP(-(B72^2)/(2*(10.8^2)))</f>
        <v/>
      </c>
      <c r="G72" s="32">
        <f>5.76*(EXP(-((B72+6.5)^2)/(2*(10.8^2)))+EXP(-((B72-6.5)^2)/(2*(10.8^2))))</f>
        <v/>
      </c>
      <c r="H72" s="32">
        <f>11.51*(EXP(-((B72+6.5)^2)/(2*(10.8^2)))+EXP(-((B72-6.5)^2)/(2*(10.8^2))))</f>
        <v/>
      </c>
      <c r="I72" s="32">
        <f>17.27*(EXP(-((B72+6.5)^2)/(2*(10.8^2)))+EXP(-((B72-6.5)^2)/(2*(10.8^2))))</f>
        <v/>
      </c>
      <c r="J72" s="32">
        <f>23.03*(EXP(-((B72+6.5)^2)/(2*(10.8^2)))+EXP(-((B72-6.5)^2)/(2*(10.8^2))))</f>
        <v/>
      </c>
      <c r="K72" s="32">
        <f>(0.01*(3.15^2)*(4*(1-0.35)*18/(B72^2+324))*EXP(-1.38*(B72^2)/(21.15^2)))*1000</f>
        <v/>
      </c>
      <c r="L72" s="32">
        <f>ABS(H73-H71)/2</f>
        <v/>
      </c>
    </row>
    <row r="73">
      <c r="B73" s="11" t="n">
        <v>17</v>
      </c>
      <c r="C73" s="33">
        <f>5.76*EXP(-(B73^2)/(2*(10.8^2)))</f>
        <v/>
      </c>
      <c r="D73" s="33">
        <f>11.51*EXP(-(B73^2)/(2*(10.8^2)))</f>
        <v/>
      </c>
      <c r="E73" s="33">
        <f>17.27*EXP(-(B73^2)/(2*(10.8^2)))</f>
        <v/>
      </c>
      <c r="F73" s="33">
        <f>23.03*EXP(-(B73^2)/(2*(10.8^2)))</f>
        <v/>
      </c>
      <c r="G73" s="33">
        <f>5.76*(EXP(-((B73+6.5)^2)/(2*(10.8^2)))+EXP(-((B73-6.5)^2)/(2*(10.8^2))))</f>
        <v/>
      </c>
      <c r="H73" s="33">
        <f>11.51*(EXP(-((B73+6.5)^2)/(2*(10.8^2)))+EXP(-((B73-6.5)^2)/(2*(10.8^2))))</f>
        <v/>
      </c>
      <c r="I73" s="33">
        <f>17.27*(EXP(-((B73+6.5)^2)/(2*(10.8^2)))+EXP(-((B73-6.5)^2)/(2*(10.8^2))))</f>
        <v/>
      </c>
      <c r="J73" s="33">
        <f>23.03*(EXP(-((B73+6.5)^2)/(2*(10.8^2)))+EXP(-((B73-6.5)^2)/(2*(10.8^2))))</f>
        <v/>
      </c>
      <c r="K73" s="33">
        <f>(0.01*(3.15^2)*(4*(1-0.35)*18/(B73^2+324))*EXP(-1.38*(B73^2)/(21.15^2)))*1000</f>
        <v/>
      </c>
      <c r="L73" s="33">
        <f>ABS(H74-H72)/2</f>
        <v/>
      </c>
    </row>
    <row r="74">
      <c r="B74" s="11" t="n">
        <v>18</v>
      </c>
      <c r="C74" s="32">
        <f>5.76*EXP(-(B74^2)/(2*(10.8^2)))</f>
        <v/>
      </c>
      <c r="D74" s="32">
        <f>11.51*EXP(-(B74^2)/(2*(10.8^2)))</f>
        <v/>
      </c>
      <c r="E74" s="32">
        <f>17.27*EXP(-(B74^2)/(2*(10.8^2)))</f>
        <v/>
      </c>
      <c r="F74" s="32">
        <f>23.03*EXP(-(B74^2)/(2*(10.8^2)))</f>
        <v/>
      </c>
      <c r="G74" s="32">
        <f>5.76*(EXP(-((B74+6.5)^2)/(2*(10.8^2)))+EXP(-((B74-6.5)^2)/(2*(10.8^2))))</f>
        <v/>
      </c>
      <c r="H74" s="32">
        <f>11.51*(EXP(-((B74+6.5)^2)/(2*(10.8^2)))+EXP(-((B74-6.5)^2)/(2*(10.8^2))))</f>
        <v/>
      </c>
      <c r="I74" s="32">
        <f>17.27*(EXP(-((B74+6.5)^2)/(2*(10.8^2)))+EXP(-((B74-6.5)^2)/(2*(10.8^2))))</f>
        <v/>
      </c>
      <c r="J74" s="32">
        <f>23.03*(EXP(-((B74+6.5)^2)/(2*(10.8^2)))+EXP(-((B74-6.5)^2)/(2*(10.8^2))))</f>
        <v/>
      </c>
      <c r="K74" s="32">
        <f>(0.01*(3.15^2)*(4*(1-0.35)*18/(B74^2+324))*EXP(-1.38*(B74^2)/(21.15^2)))*1000</f>
        <v/>
      </c>
      <c r="L74" s="32">
        <f>ABS(H75-H73)/2</f>
        <v/>
      </c>
    </row>
    <row r="75">
      <c r="B75" s="11" t="n">
        <v>19</v>
      </c>
      <c r="C75" s="33">
        <f>5.76*EXP(-(B75^2)/(2*(10.8^2)))</f>
        <v/>
      </c>
      <c r="D75" s="33">
        <f>11.51*EXP(-(B75^2)/(2*(10.8^2)))</f>
        <v/>
      </c>
      <c r="E75" s="33">
        <f>17.27*EXP(-(B75^2)/(2*(10.8^2)))</f>
        <v/>
      </c>
      <c r="F75" s="33">
        <f>23.03*EXP(-(B75^2)/(2*(10.8^2)))</f>
        <v/>
      </c>
      <c r="G75" s="33">
        <f>5.76*(EXP(-((B75+6.5)^2)/(2*(10.8^2)))+EXP(-((B75-6.5)^2)/(2*(10.8^2))))</f>
        <v/>
      </c>
      <c r="H75" s="33">
        <f>11.51*(EXP(-((B75+6.5)^2)/(2*(10.8^2)))+EXP(-((B75-6.5)^2)/(2*(10.8^2))))</f>
        <v/>
      </c>
      <c r="I75" s="33">
        <f>17.27*(EXP(-((B75+6.5)^2)/(2*(10.8^2)))+EXP(-((B75-6.5)^2)/(2*(10.8^2))))</f>
        <v/>
      </c>
      <c r="J75" s="33">
        <f>23.03*(EXP(-((B75+6.5)^2)/(2*(10.8^2)))+EXP(-((B75-6.5)^2)/(2*(10.8^2))))</f>
        <v/>
      </c>
      <c r="K75" s="33">
        <f>(0.01*(3.15^2)*(4*(1-0.35)*18/(B75^2+324))*EXP(-1.38*(B75^2)/(21.15^2)))*1000</f>
        <v/>
      </c>
      <c r="L75" s="33">
        <f>ABS(H76-H74)/2</f>
        <v/>
      </c>
    </row>
    <row r="76">
      <c r="B76" s="11" t="n">
        <v>20</v>
      </c>
      <c r="C76" s="32">
        <f>5.76*EXP(-(B76^2)/(2*(10.8^2)))</f>
        <v/>
      </c>
      <c r="D76" s="32">
        <f>11.51*EXP(-(B76^2)/(2*(10.8^2)))</f>
        <v/>
      </c>
      <c r="E76" s="32">
        <f>17.27*EXP(-(B76^2)/(2*(10.8^2)))</f>
        <v/>
      </c>
      <c r="F76" s="32">
        <f>23.03*EXP(-(B76^2)/(2*(10.8^2)))</f>
        <v/>
      </c>
      <c r="G76" s="32">
        <f>5.76*(EXP(-((B76+6.5)^2)/(2*(10.8^2)))+EXP(-((B76-6.5)^2)/(2*(10.8^2))))</f>
        <v/>
      </c>
      <c r="H76" s="32">
        <f>11.51*(EXP(-((B76+6.5)^2)/(2*(10.8^2)))+EXP(-((B76-6.5)^2)/(2*(10.8^2))))</f>
        <v/>
      </c>
      <c r="I76" s="32">
        <f>17.27*(EXP(-((B76+6.5)^2)/(2*(10.8^2)))+EXP(-((B76-6.5)^2)/(2*(10.8^2))))</f>
        <v/>
      </c>
      <c r="J76" s="32">
        <f>23.03*(EXP(-((B76+6.5)^2)/(2*(10.8^2)))+EXP(-((B76-6.5)^2)/(2*(10.8^2))))</f>
        <v/>
      </c>
      <c r="K76" s="32">
        <f>(0.01*(3.15^2)*(4*(1-0.35)*18/(B76^2+324))*EXP(-1.38*(B76^2)/(21.15^2)))*1000</f>
        <v/>
      </c>
      <c r="L76" s="32">
        <f>ABS(H77-H75)/2</f>
        <v/>
      </c>
    </row>
    <row r="77">
      <c r="B77" s="11" t="n">
        <v>21</v>
      </c>
      <c r="C77" s="33">
        <f>5.76*EXP(-(B77^2)/(2*(10.8^2)))</f>
        <v/>
      </c>
      <c r="D77" s="33">
        <f>11.51*EXP(-(B77^2)/(2*(10.8^2)))</f>
        <v/>
      </c>
      <c r="E77" s="33">
        <f>17.27*EXP(-(B77^2)/(2*(10.8^2)))</f>
        <v/>
      </c>
      <c r="F77" s="33">
        <f>23.03*EXP(-(B77^2)/(2*(10.8^2)))</f>
        <v/>
      </c>
      <c r="G77" s="33">
        <f>5.76*(EXP(-((B77+6.5)^2)/(2*(10.8^2)))+EXP(-((B77-6.5)^2)/(2*(10.8^2))))</f>
        <v/>
      </c>
      <c r="H77" s="33">
        <f>11.51*(EXP(-((B77+6.5)^2)/(2*(10.8^2)))+EXP(-((B77-6.5)^2)/(2*(10.8^2))))</f>
        <v/>
      </c>
      <c r="I77" s="33">
        <f>17.27*(EXP(-((B77+6.5)^2)/(2*(10.8^2)))+EXP(-((B77-6.5)^2)/(2*(10.8^2))))</f>
        <v/>
      </c>
      <c r="J77" s="33">
        <f>23.03*(EXP(-((B77+6.5)^2)/(2*(10.8^2)))+EXP(-((B77-6.5)^2)/(2*(10.8^2))))</f>
        <v/>
      </c>
      <c r="K77" s="33">
        <f>(0.01*(3.15^2)*(4*(1-0.35)*18/(B77^2+324))*EXP(-1.38*(B77^2)/(21.15^2)))*1000</f>
        <v/>
      </c>
      <c r="L77" s="33">
        <f>ABS(H78-H76)/2</f>
        <v/>
      </c>
    </row>
    <row r="78">
      <c r="B78" s="11" t="n">
        <v>22</v>
      </c>
      <c r="C78" s="32">
        <f>5.76*EXP(-(B78^2)/(2*(10.8^2)))</f>
        <v/>
      </c>
      <c r="D78" s="32">
        <f>11.51*EXP(-(B78^2)/(2*(10.8^2)))</f>
        <v/>
      </c>
      <c r="E78" s="32">
        <f>17.27*EXP(-(B78^2)/(2*(10.8^2)))</f>
        <v/>
      </c>
      <c r="F78" s="32">
        <f>23.03*EXP(-(B78^2)/(2*(10.8^2)))</f>
        <v/>
      </c>
      <c r="G78" s="32">
        <f>5.76*(EXP(-((B78+6.5)^2)/(2*(10.8^2)))+EXP(-((B78-6.5)^2)/(2*(10.8^2))))</f>
        <v/>
      </c>
      <c r="H78" s="32">
        <f>11.51*(EXP(-((B78+6.5)^2)/(2*(10.8^2)))+EXP(-((B78-6.5)^2)/(2*(10.8^2))))</f>
        <v/>
      </c>
      <c r="I78" s="32">
        <f>17.27*(EXP(-((B78+6.5)^2)/(2*(10.8^2)))+EXP(-((B78-6.5)^2)/(2*(10.8^2))))</f>
        <v/>
      </c>
      <c r="J78" s="32">
        <f>23.03*(EXP(-((B78+6.5)^2)/(2*(10.8^2)))+EXP(-((B78-6.5)^2)/(2*(10.8^2))))</f>
        <v/>
      </c>
      <c r="K78" s="32">
        <f>(0.01*(3.15^2)*(4*(1-0.35)*18/(B78^2+324))*EXP(-1.38*(B78^2)/(21.15^2)))*1000</f>
        <v/>
      </c>
      <c r="L78" s="32">
        <f>ABS(H79-H77)/2</f>
        <v/>
      </c>
    </row>
    <row r="79">
      <c r="B79" s="11" t="n">
        <v>23</v>
      </c>
      <c r="C79" s="33">
        <f>5.76*EXP(-(B79^2)/(2*(10.8^2)))</f>
        <v/>
      </c>
      <c r="D79" s="33">
        <f>11.51*EXP(-(B79^2)/(2*(10.8^2)))</f>
        <v/>
      </c>
      <c r="E79" s="33">
        <f>17.27*EXP(-(B79^2)/(2*(10.8^2)))</f>
        <v/>
      </c>
      <c r="F79" s="33">
        <f>23.03*EXP(-(B79^2)/(2*(10.8^2)))</f>
        <v/>
      </c>
      <c r="G79" s="33">
        <f>5.76*(EXP(-((B79+6.5)^2)/(2*(10.8^2)))+EXP(-((B79-6.5)^2)/(2*(10.8^2))))</f>
        <v/>
      </c>
      <c r="H79" s="33">
        <f>11.51*(EXP(-((B79+6.5)^2)/(2*(10.8^2)))+EXP(-((B79-6.5)^2)/(2*(10.8^2))))</f>
        <v/>
      </c>
      <c r="I79" s="33">
        <f>17.27*(EXP(-((B79+6.5)^2)/(2*(10.8^2)))+EXP(-((B79-6.5)^2)/(2*(10.8^2))))</f>
        <v/>
      </c>
      <c r="J79" s="33">
        <f>23.03*(EXP(-((B79+6.5)^2)/(2*(10.8^2)))+EXP(-((B79-6.5)^2)/(2*(10.8^2))))</f>
        <v/>
      </c>
      <c r="K79" s="33">
        <f>(0.01*(3.15^2)*(4*(1-0.35)*18/(B79^2+324))*EXP(-1.38*(B79^2)/(21.15^2)))*1000</f>
        <v/>
      </c>
      <c r="L79" s="33">
        <f>ABS(H80-H78)/2</f>
        <v/>
      </c>
    </row>
    <row r="80">
      <c r="B80" s="11" t="n">
        <v>24</v>
      </c>
      <c r="C80" s="32">
        <f>5.76*EXP(-(B80^2)/(2*(10.8^2)))</f>
        <v/>
      </c>
      <c r="D80" s="32">
        <f>11.51*EXP(-(B80^2)/(2*(10.8^2)))</f>
        <v/>
      </c>
      <c r="E80" s="32">
        <f>17.27*EXP(-(B80^2)/(2*(10.8^2)))</f>
        <v/>
      </c>
      <c r="F80" s="32">
        <f>23.03*EXP(-(B80^2)/(2*(10.8^2)))</f>
        <v/>
      </c>
      <c r="G80" s="32">
        <f>5.76*(EXP(-((B80+6.5)^2)/(2*(10.8^2)))+EXP(-((B80-6.5)^2)/(2*(10.8^2))))</f>
        <v/>
      </c>
      <c r="H80" s="32">
        <f>11.51*(EXP(-((B80+6.5)^2)/(2*(10.8^2)))+EXP(-((B80-6.5)^2)/(2*(10.8^2))))</f>
        <v/>
      </c>
      <c r="I80" s="32">
        <f>17.27*(EXP(-((B80+6.5)^2)/(2*(10.8^2)))+EXP(-((B80-6.5)^2)/(2*(10.8^2))))</f>
        <v/>
      </c>
      <c r="J80" s="32">
        <f>23.03*(EXP(-((B80+6.5)^2)/(2*(10.8^2)))+EXP(-((B80-6.5)^2)/(2*(10.8^2))))</f>
        <v/>
      </c>
      <c r="K80" s="32">
        <f>(0.01*(3.15^2)*(4*(1-0.35)*18/(B80^2+324))*EXP(-1.38*(B80^2)/(21.15^2)))*1000</f>
        <v/>
      </c>
      <c r="L80" s="32">
        <f>ABS(H81-H79)/2</f>
        <v/>
      </c>
    </row>
    <row r="81">
      <c r="B81" s="11" t="n">
        <v>25</v>
      </c>
      <c r="C81" s="33">
        <f>5.76*EXP(-(B81^2)/(2*(10.8^2)))</f>
        <v/>
      </c>
      <c r="D81" s="33">
        <f>11.51*EXP(-(B81^2)/(2*(10.8^2)))</f>
        <v/>
      </c>
      <c r="E81" s="33">
        <f>17.27*EXP(-(B81^2)/(2*(10.8^2)))</f>
        <v/>
      </c>
      <c r="F81" s="33">
        <f>23.03*EXP(-(B81^2)/(2*(10.8^2)))</f>
        <v/>
      </c>
      <c r="G81" s="33">
        <f>5.76*(EXP(-((B81+6.5)^2)/(2*(10.8^2)))+EXP(-((B81-6.5)^2)/(2*(10.8^2))))</f>
        <v/>
      </c>
      <c r="H81" s="33">
        <f>11.51*(EXP(-((B81+6.5)^2)/(2*(10.8^2)))+EXP(-((B81-6.5)^2)/(2*(10.8^2))))</f>
        <v/>
      </c>
      <c r="I81" s="33">
        <f>17.27*(EXP(-((B81+6.5)^2)/(2*(10.8^2)))+EXP(-((B81-6.5)^2)/(2*(10.8^2))))</f>
        <v/>
      </c>
      <c r="J81" s="33">
        <f>23.03*(EXP(-((B81+6.5)^2)/(2*(10.8^2)))+EXP(-((B81-6.5)^2)/(2*(10.8^2))))</f>
        <v/>
      </c>
      <c r="K81" s="33">
        <f>(0.01*(3.15^2)*(4*(1-0.35)*18/(B81^2+324))*EXP(-1.38*(B81^2)/(21.15^2)))*1000</f>
        <v/>
      </c>
      <c r="L81" s="33">
        <f>ABS(H82-H80)/2</f>
        <v/>
      </c>
    </row>
    <row r="82">
      <c r="B82" s="11" t="n">
        <v>26</v>
      </c>
      <c r="C82" s="32">
        <f>5.76*EXP(-(B82^2)/(2*(10.8^2)))</f>
        <v/>
      </c>
      <c r="D82" s="32">
        <f>11.51*EXP(-(B82^2)/(2*(10.8^2)))</f>
        <v/>
      </c>
      <c r="E82" s="32">
        <f>17.27*EXP(-(B82^2)/(2*(10.8^2)))</f>
        <v/>
      </c>
      <c r="F82" s="32">
        <f>23.03*EXP(-(B82^2)/(2*(10.8^2)))</f>
        <v/>
      </c>
      <c r="G82" s="32">
        <f>5.76*(EXP(-((B82+6.5)^2)/(2*(10.8^2)))+EXP(-((B82-6.5)^2)/(2*(10.8^2))))</f>
        <v/>
      </c>
      <c r="H82" s="32">
        <f>11.51*(EXP(-((B82+6.5)^2)/(2*(10.8^2)))+EXP(-((B82-6.5)^2)/(2*(10.8^2))))</f>
        <v/>
      </c>
      <c r="I82" s="32">
        <f>17.27*(EXP(-((B82+6.5)^2)/(2*(10.8^2)))+EXP(-((B82-6.5)^2)/(2*(10.8^2))))</f>
        <v/>
      </c>
      <c r="J82" s="32">
        <f>23.03*(EXP(-((B82+6.5)^2)/(2*(10.8^2)))+EXP(-((B82-6.5)^2)/(2*(10.8^2))))</f>
        <v/>
      </c>
      <c r="K82" s="32">
        <f>(0.01*(3.15^2)*(4*(1-0.35)*18/(B82^2+324))*EXP(-1.38*(B82^2)/(21.15^2)))*1000</f>
        <v/>
      </c>
      <c r="L82" s="32">
        <f>ABS(H83-H81)/2</f>
        <v/>
      </c>
    </row>
    <row r="83">
      <c r="B83" s="11" t="n">
        <v>27</v>
      </c>
      <c r="C83" s="33">
        <f>5.76*EXP(-(B83^2)/(2*(10.8^2)))</f>
        <v/>
      </c>
      <c r="D83" s="33">
        <f>11.51*EXP(-(B83^2)/(2*(10.8^2)))</f>
        <v/>
      </c>
      <c r="E83" s="33">
        <f>17.27*EXP(-(B83^2)/(2*(10.8^2)))</f>
        <v/>
      </c>
      <c r="F83" s="33">
        <f>23.03*EXP(-(B83^2)/(2*(10.8^2)))</f>
        <v/>
      </c>
      <c r="G83" s="33">
        <f>5.76*(EXP(-((B83+6.5)^2)/(2*(10.8^2)))+EXP(-((B83-6.5)^2)/(2*(10.8^2))))</f>
        <v/>
      </c>
      <c r="H83" s="33">
        <f>11.51*(EXP(-((B83+6.5)^2)/(2*(10.8^2)))+EXP(-((B83-6.5)^2)/(2*(10.8^2))))</f>
        <v/>
      </c>
      <c r="I83" s="33">
        <f>17.27*(EXP(-((B83+6.5)^2)/(2*(10.8^2)))+EXP(-((B83-6.5)^2)/(2*(10.8^2))))</f>
        <v/>
      </c>
      <c r="J83" s="33">
        <f>23.03*(EXP(-((B83+6.5)^2)/(2*(10.8^2)))+EXP(-((B83-6.5)^2)/(2*(10.8^2))))</f>
        <v/>
      </c>
      <c r="K83" s="33">
        <f>(0.01*(3.15^2)*(4*(1-0.35)*18/(B83^2+324))*EXP(-1.38*(B83^2)/(21.15^2)))*1000</f>
        <v/>
      </c>
      <c r="L83" s="33">
        <f>ABS(H84-H82)/2</f>
        <v/>
      </c>
    </row>
    <row r="84">
      <c r="B84" s="11" t="n">
        <v>28</v>
      </c>
      <c r="C84" s="32">
        <f>5.76*EXP(-(B84^2)/(2*(10.8^2)))</f>
        <v/>
      </c>
      <c r="D84" s="32">
        <f>11.51*EXP(-(B84^2)/(2*(10.8^2)))</f>
        <v/>
      </c>
      <c r="E84" s="32">
        <f>17.27*EXP(-(B84^2)/(2*(10.8^2)))</f>
        <v/>
      </c>
      <c r="F84" s="32">
        <f>23.03*EXP(-(B84^2)/(2*(10.8^2)))</f>
        <v/>
      </c>
      <c r="G84" s="32">
        <f>5.76*(EXP(-((B84+6.5)^2)/(2*(10.8^2)))+EXP(-((B84-6.5)^2)/(2*(10.8^2))))</f>
        <v/>
      </c>
      <c r="H84" s="32">
        <f>11.51*(EXP(-((B84+6.5)^2)/(2*(10.8^2)))+EXP(-((B84-6.5)^2)/(2*(10.8^2))))</f>
        <v/>
      </c>
      <c r="I84" s="32">
        <f>17.27*(EXP(-((B84+6.5)^2)/(2*(10.8^2)))+EXP(-((B84-6.5)^2)/(2*(10.8^2))))</f>
        <v/>
      </c>
      <c r="J84" s="32">
        <f>23.03*(EXP(-((B84+6.5)^2)/(2*(10.8^2)))+EXP(-((B84-6.5)^2)/(2*(10.8^2))))</f>
        <v/>
      </c>
      <c r="K84" s="32">
        <f>(0.01*(3.15^2)*(4*(1-0.35)*18/(B84^2+324))*EXP(-1.38*(B84^2)/(21.15^2)))*1000</f>
        <v/>
      </c>
      <c r="L84" s="32">
        <f>ABS(H85-H83)/2</f>
        <v/>
      </c>
    </row>
    <row r="85">
      <c r="B85" s="11" t="n">
        <v>29</v>
      </c>
      <c r="C85" s="33">
        <f>5.76*EXP(-(B85^2)/(2*(10.8^2)))</f>
        <v/>
      </c>
      <c r="D85" s="33">
        <f>11.51*EXP(-(B85^2)/(2*(10.8^2)))</f>
        <v/>
      </c>
      <c r="E85" s="33">
        <f>17.27*EXP(-(B85^2)/(2*(10.8^2)))</f>
        <v/>
      </c>
      <c r="F85" s="33">
        <f>23.03*EXP(-(B85^2)/(2*(10.8^2)))</f>
        <v/>
      </c>
      <c r="G85" s="33">
        <f>5.76*(EXP(-((B85+6.5)^2)/(2*(10.8^2)))+EXP(-((B85-6.5)^2)/(2*(10.8^2))))</f>
        <v/>
      </c>
      <c r="H85" s="33">
        <f>11.51*(EXP(-((B85+6.5)^2)/(2*(10.8^2)))+EXP(-((B85-6.5)^2)/(2*(10.8^2))))</f>
        <v/>
      </c>
      <c r="I85" s="33">
        <f>17.27*(EXP(-((B85+6.5)^2)/(2*(10.8^2)))+EXP(-((B85-6.5)^2)/(2*(10.8^2))))</f>
        <v/>
      </c>
      <c r="J85" s="33">
        <f>23.03*(EXP(-((B85+6.5)^2)/(2*(10.8^2)))+EXP(-((B85-6.5)^2)/(2*(10.8^2))))</f>
        <v/>
      </c>
      <c r="K85" s="33">
        <f>(0.01*(3.15^2)*(4*(1-0.35)*18/(B85^2+324))*EXP(-1.38*(B85^2)/(21.15^2)))*1000</f>
        <v/>
      </c>
      <c r="L85" s="33">
        <f>ABS(H86-H84)/2</f>
        <v/>
      </c>
    </row>
    <row r="86">
      <c r="B86" s="11" t="n">
        <v>30</v>
      </c>
      <c r="C86" s="32">
        <f>5.76*EXP(-(B86^2)/(2*(10.8^2)))</f>
        <v/>
      </c>
      <c r="D86" s="32">
        <f>11.51*EXP(-(B86^2)/(2*(10.8^2)))</f>
        <v/>
      </c>
      <c r="E86" s="32">
        <f>17.27*EXP(-(B86^2)/(2*(10.8^2)))</f>
        <v/>
      </c>
      <c r="F86" s="32">
        <f>23.03*EXP(-(B86^2)/(2*(10.8^2)))</f>
        <v/>
      </c>
      <c r="G86" s="32">
        <f>5.76*(EXP(-((B86+6.5)^2)/(2*(10.8^2)))+EXP(-((B86-6.5)^2)/(2*(10.8^2))))</f>
        <v/>
      </c>
      <c r="H86" s="32">
        <f>11.51*(EXP(-((B86+6.5)^2)/(2*(10.8^2)))+EXP(-((B86-6.5)^2)/(2*(10.8^2))))</f>
        <v/>
      </c>
      <c r="I86" s="32">
        <f>17.27*(EXP(-((B86+6.5)^2)/(2*(10.8^2)))+EXP(-((B86-6.5)^2)/(2*(10.8^2))))</f>
        <v/>
      </c>
      <c r="J86" s="32">
        <f>23.03*(EXP(-((B86+6.5)^2)/(2*(10.8^2)))+EXP(-((B86-6.5)^2)/(2*(10.8^2))))</f>
        <v/>
      </c>
      <c r="K86" s="32">
        <f>(0.01*(3.15^2)*(4*(1-0.35)*18/(B86^2+324))*EXP(-1.38*(B86^2)/(21.15^2)))*1000</f>
        <v/>
      </c>
      <c r="L86" s="32">
        <f>ABS(H87-H85)/2</f>
        <v/>
      </c>
    </row>
    <row r="87">
      <c r="B87" s="11" t="n">
        <v>31</v>
      </c>
      <c r="C87" s="33">
        <f>5.76*EXP(-(B87^2)/(2*(10.8^2)))</f>
        <v/>
      </c>
      <c r="D87" s="33">
        <f>11.51*EXP(-(B87^2)/(2*(10.8^2)))</f>
        <v/>
      </c>
      <c r="E87" s="33">
        <f>17.27*EXP(-(B87^2)/(2*(10.8^2)))</f>
        <v/>
      </c>
      <c r="F87" s="33">
        <f>23.03*EXP(-(B87^2)/(2*(10.8^2)))</f>
        <v/>
      </c>
      <c r="G87" s="33">
        <f>5.76*(EXP(-((B87+6.5)^2)/(2*(10.8^2)))+EXP(-((B87-6.5)^2)/(2*(10.8^2))))</f>
        <v/>
      </c>
      <c r="H87" s="33">
        <f>11.51*(EXP(-((B87+6.5)^2)/(2*(10.8^2)))+EXP(-((B87-6.5)^2)/(2*(10.8^2))))</f>
        <v/>
      </c>
      <c r="I87" s="33">
        <f>17.27*(EXP(-((B87+6.5)^2)/(2*(10.8^2)))+EXP(-((B87-6.5)^2)/(2*(10.8^2))))</f>
        <v/>
      </c>
      <c r="J87" s="33">
        <f>23.03*(EXP(-((B87+6.5)^2)/(2*(10.8^2)))+EXP(-((B87-6.5)^2)/(2*(10.8^2))))</f>
        <v/>
      </c>
      <c r="K87" s="33">
        <f>(0.01*(3.15^2)*(4*(1-0.35)*18/(B87^2+324))*EXP(-1.38*(B87^2)/(21.15^2)))*1000</f>
        <v/>
      </c>
      <c r="L87" s="33">
        <f>ABS(H88-H86)/2</f>
        <v/>
      </c>
    </row>
    <row r="88">
      <c r="B88" s="11" t="n">
        <v>32</v>
      </c>
      <c r="C88" s="32">
        <f>5.76*EXP(-(B88^2)/(2*(10.8^2)))</f>
        <v/>
      </c>
      <c r="D88" s="32">
        <f>11.51*EXP(-(B88^2)/(2*(10.8^2)))</f>
        <v/>
      </c>
      <c r="E88" s="32">
        <f>17.27*EXP(-(B88^2)/(2*(10.8^2)))</f>
        <v/>
      </c>
      <c r="F88" s="32">
        <f>23.03*EXP(-(B88^2)/(2*(10.8^2)))</f>
        <v/>
      </c>
      <c r="G88" s="32">
        <f>5.76*(EXP(-((B88+6.5)^2)/(2*(10.8^2)))+EXP(-((B88-6.5)^2)/(2*(10.8^2))))</f>
        <v/>
      </c>
      <c r="H88" s="32">
        <f>11.51*(EXP(-((B88+6.5)^2)/(2*(10.8^2)))+EXP(-((B88-6.5)^2)/(2*(10.8^2))))</f>
        <v/>
      </c>
      <c r="I88" s="32">
        <f>17.27*(EXP(-((B88+6.5)^2)/(2*(10.8^2)))+EXP(-((B88-6.5)^2)/(2*(10.8^2))))</f>
        <v/>
      </c>
      <c r="J88" s="32">
        <f>23.03*(EXP(-((B88+6.5)^2)/(2*(10.8^2)))+EXP(-((B88-6.5)^2)/(2*(10.8^2))))</f>
        <v/>
      </c>
      <c r="K88" s="32">
        <f>(0.01*(3.15^2)*(4*(1-0.35)*18/(B88^2+324))*EXP(-1.38*(B88^2)/(21.15^2)))*1000</f>
        <v/>
      </c>
      <c r="L88" s="32">
        <f>ABS(H89-H87)/2</f>
        <v/>
      </c>
    </row>
    <row r="89">
      <c r="B89" s="11" t="n">
        <v>33</v>
      </c>
      <c r="C89" s="33">
        <f>5.76*EXP(-(B89^2)/(2*(10.8^2)))</f>
        <v/>
      </c>
      <c r="D89" s="33">
        <f>11.51*EXP(-(B89^2)/(2*(10.8^2)))</f>
        <v/>
      </c>
      <c r="E89" s="33">
        <f>17.27*EXP(-(B89^2)/(2*(10.8^2)))</f>
        <v/>
      </c>
      <c r="F89" s="33">
        <f>23.03*EXP(-(B89^2)/(2*(10.8^2)))</f>
        <v/>
      </c>
      <c r="G89" s="33">
        <f>5.76*(EXP(-((B89+6.5)^2)/(2*(10.8^2)))+EXP(-((B89-6.5)^2)/(2*(10.8^2))))</f>
        <v/>
      </c>
      <c r="H89" s="33">
        <f>11.51*(EXP(-((B89+6.5)^2)/(2*(10.8^2)))+EXP(-((B89-6.5)^2)/(2*(10.8^2))))</f>
        <v/>
      </c>
      <c r="I89" s="33">
        <f>17.27*(EXP(-((B89+6.5)^2)/(2*(10.8^2)))+EXP(-((B89-6.5)^2)/(2*(10.8^2))))</f>
        <v/>
      </c>
      <c r="J89" s="33">
        <f>23.03*(EXP(-((B89+6.5)^2)/(2*(10.8^2)))+EXP(-((B89-6.5)^2)/(2*(10.8^2))))</f>
        <v/>
      </c>
      <c r="K89" s="33">
        <f>(0.01*(3.15^2)*(4*(1-0.35)*18/(B89^2+324))*EXP(-1.38*(B89^2)/(21.15^2)))*1000</f>
        <v/>
      </c>
      <c r="L89" s="33">
        <f>ABS(H90-H88)/2</f>
        <v/>
      </c>
    </row>
    <row r="90">
      <c r="B90" s="11" t="n">
        <v>34</v>
      </c>
      <c r="C90" s="32">
        <f>5.76*EXP(-(B90^2)/(2*(10.8^2)))</f>
        <v/>
      </c>
      <c r="D90" s="32">
        <f>11.51*EXP(-(B90^2)/(2*(10.8^2)))</f>
        <v/>
      </c>
      <c r="E90" s="32">
        <f>17.27*EXP(-(B90^2)/(2*(10.8^2)))</f>
        <v/>
      </c>
      <c r="F90" s="32">
        <f>23.03*EXP(-(B90^2)/(2*(10.8^2)))</f>
        <v/>
      </c>
      <c r="G90" s="32">
        <f>5.76*(EXP(-((B90+6.5)^2)/(2*(10.8^2)))+EXP(-((B90-6.5)^2)/(2*(10.8^2))))</f>
        <v/>
      </c>
      <c r="H90" s="32">
        <f>11.51*(EXP(-((B90+6.5)^2)/(2*(10.8^2)))+EXP(-((B90-6.5)^2)/(2*(10.8^2))))</f>
        <v/>
      </c>
      <c r="I90" s="32">
        <f>17.27*(EXP(-((B90+6.5)^2)/(2*(10.8^2)))+EXP(-((B90-6.5)^2)/(2*(10.8^2))))</f>
        <v/>
      </c>
      <c r="J90" s="32">
        <f>23.03*(EXP(-((B90+6.5)^2)/(2*(10.8^2)))+EXP(-((B90-6.5)^2)/(2*(10.8^2))))</f>
        <v/>
      </c>
      <c r="K90" s="32">
        <f>(0.01*(3.15^2)*(4*(1-0.35)*18/(B90^2+324))*EXP(-1.38*(B90^2)/(21.15^2)))*1000</f>
        <v/>
      </c>
      <c r="L90" s="32">
        <f>ABS(H91-H89)/2</f>
        <v/>
      </c>
    </row>
    <row r="91">
      <c r="B91" s="11" t="n">
        <v>35</v>
      </c>
      <c r="C91" s="33">
        <f>5.76*EXP(-(B91^2)/(2*(10.8^2)))</f>
        <v/>
      </c>
      <c r="D91" s="33">
        <f>11.51*EXP(-(B91^2)/(2*(10.8^2)))</f>
        <v/>
      </c>
      <c r="E91" s="33">
        <f>17.27*EXP(-(B91^2)/(2*(10.8^2)))</f>
        <v/>
      </c>
      <c r="F91" s="33">
        <f>23.03*EXP(-(B91^2)/(2*(10.8^2)))</f>
        <v/>
      </c>
      <c r="G91" s="33">
        <f>5.76*(EXP(-((B91+6.5)^2)/(2*(10.8^2)))+EXP(-((B91-6.5)^2)/(2*(10.8^2))))</f>
        <v/>
      </c>
      <c r="H91" s="33">
        <f>11.51*(EXP(-((B91+6.5)^2)/(2*(10.8^2)))+EXP(-((B91-6.5)^2)/(2*(10.8^2))))</f>
        <v/>
      </c>
      <c r="I91" s="33">
        <f>17.27*(EXP(-((B91+6.5)^2)/(2*(10.8^2)))+EXP(-((B91-6.5)^2)/(2*(10.8^2))))</f>
        <v/>
      </c>
      <c r="J91" s="33">
        <f>23.03*(EXP(-((B91+6.5)^2)/(2*(10.8^2)))+EXP(-((B91-6.5)^2)/(2*(10.8^2))))</f>
        <v/>
      </c>
      <c r="K91" s="33">
        <f>(0.01*(3.15^2)*(4*(1-0.35)*18/(B91^2+324))*EXP(-1.38*(B91^2)/(21.15^2)))*1000</f>
        <v/>
      </c>
      <c r="L91" s="33">
        <f>ABS(H92-H90)/2</f>
        <v/>
      </c>
    </row>
    <row r="92">
      <c r="B92" s="11" t="n">
        <v>36</v>
      </c>
      <c r="C92" s="32">
        <f>5.76*EXP(-(B92^2)/(2*(10.8^2)))</f>
        <v/>
      </c>
      <c r="D92" s="32">
        <f>11.51*EXP(-(B92^2)/(2*(10.8^2)))</f>
        <v/>
      </c>
      <c r="E92" s="32">
        <f>17.27*EXP(-(B92^2)/(2*(10.8^2)))</f>
        <v/>
      </c>
      <c r="F92" s="32">
        <f>23.03*EXP(-(B92^2)/(2*(10.8^2)))</f>
        <v/>
      </c>
      <c r="G92" s="32">
        <f>5.76*(EXP(-((B92+6.5)^2)/(2*(10.8^2)))+EXP(-((B92-6.5)^2)/(2*(10.8^2))))</f>
        <v/>
      </c>
      <c r="H92" s="32">
        <f>11.51*(EXP(-((B92+6.5)^2)/(2*(10.8^2)))+EXP(-((B92-6.5)^2)/(2*(10.8^2))))</f>
        <v/>
      </c>
      <c r="I92" s="32">
        <f>17.27*(EXP(-((B92+6.5)^2)/(2*(10.8^2)))+EXP(-((B92-6.5)^2)/(2*(10.8^2))))</f>
        <v/>
      </c>
      <c r="J92" s="32">
        <f>23.03*(EXP(-((B92+6.5)^2)/(2*(10.8^2)))+EXP(-((B92-6.5)^2)/(2*(10.8^2))))</f>
        <v/>
      </c>
      <c r="K92" s="32">
        <f>(0.01*(3.15^2)*(4*(1-0.35)*18/(B92^2+324))*EXP(-1.38*(B92^2)/(21.15^2)))*1000</f>
        <v/>
      </c>
      <c r="L92" s="32">
        <f>ABS(H93-H91)/2</f>
        <v/>
      </c>
    </row>
    <row r="93">
      <c r="B93" s="11" t="n">
        <v>37</v>
      </c>
      <c r="C93" s="33">
        <f>5.76*EXP(-(B93^2)/(2*(10.8^2)))</f>
        <v/>
      </c>
      <c r="D93" s="33">
        <f>11.51*EXP(-(B93^2)/(2*(10.8^2)))</f>
        <v/>
      </c>
      <c r="E93" s="33">
        <f>17.27*EXP(-(B93^2)/(2*(10.8^2)))</f>
        <v/>
      </c>
      <c r="F93" s="33">
        <f>23.03*EXP(-(B93^2)/(2*(10.8^2)))</f>
        <v/>
      </c>
      <c r="G93" s="33">
        <f>5.76*(EXP(-((B93+6.5)^2)/(2*(10.8^2)))+EXP(-((B93-6.5)^2)/(2*(10.8^2))))</f>
        <v/>
      </c>
      <c r="H93" s="33">
        <f>11.51*(EXP(-((B93+6.5)^2)/(2*(10.8^2)))+EXP(-((B93-6.5)^2)/(2*(10.8^2))))</f>
        <v/>
      </c>
      <c r="I93" s="33">
        <f>17.27*(EXP(-((B93+6.5)^2)/(2*(10.8^2)))+EXP(-((B93-6.5)^2)/(2*(10.8^2))))</f>
        <v/>
      </c>
      <c r="J93" s="33">
        <f>23.03*(EXP(-((B93+6.5)^2)/(2*(10.8^2)))+EXP(-((B93-6.5)^2)/(2*(10.8^2))))</f>
        <v/>
      </c>
      <c r="K93" s="33">
        <f>(0.01*(3.15^2)*(4*(1-0.35)*18/(B93^2+324))*EXP(-1.38*(B93^2)/(21.15^2)))*1000</f>
        <v/>
      </c>
      <c r="L93" s="33">
        <f>ABS(H94-H92)/2</f>
        <v/>
      </c>
    </row>
    <row r="94">
      <c r="B94" s="11" t="n">
        <v>38</v>
      </c>
      <c r="C94" s="32">
        <f>5.76*EXP(-(B94^2)/(2*(10.8^2)))</f>
        <v/>
      </c>
      <c r="D94" s="32">
        <f>11.51*EXP(-(B94^2)/(2*(10.8^2)))</f>
        <v/>
      </c>
      <c r="E94" s="32">
        <f>17.27*EXP(-(B94^2)/(2*(10.8^2)))</f>
        <v/>
      </c>
      <c r="F94" s="32">
        <f>23.03*EXP(-(B94^2)/(2*(10.8^2)))</f>
        <v/>
      </c>
      <c r="G94" s="32">
        <f>5.76*(EXP(-((B94+6.5)^2)/(2*(10.8^2)))+EXP(-((B94-6.5)^2)/(2*(10.8^2))))</f>
        <v/>
      </c>
      <c r="H94" s="32">
        <f>11.51*(EXP(-((B94+6.5)^2)/(2*(10.8^2)))+EXP(-((B94-6.5)^2)/(2*(10.8^2))))</f>
        <v/>
      </c>
      <c r="I94" s="32">
        <f>17.27*(EXP(-((B94+6.5)^2)/(2*(10.8^2)))+EXP(-((B94-6.5)^2)/(2*(10.8^2))))</f>
        <v/>
      </c>
      <c r="J94" s="32">
        <f>23.03*(EXP(-((B94+6.5)^2)/(2*(10.8^2)))+EXP(-((B94-6.5)^2)/(2*(10.8^2))))</f>
        <v/>
      </c>
      <c r="K94" s="32">
        <f>(0.01*(3.15^2)*(4*(1-0.35)*18/(B94^2+324))*EXP(-1.38*(B94^2)/(21.15^2)))*1000</f>
        <v/>
      </c>
      <c r="L94" s="32">
        <f>ABS(H95-H93)/2</f>
        <v/>
      </c>
    </row>
    <row r="95">
      <c r="B95" s="11" t="n">
        <v>39</v>
      </c>
      <c r="C95" s="33">
        <f>5.76*EXP(-(B95^2)/(2*(10.8^2)))</f>
        <v/>
      </c>
      <c r="D95" s="33">
        <f>11.51*EXP(-(B95^2)/(2*(10.8^2)))</f>
        <v/>
      </c>
      <c r="E95" s="33">
        <f>17.27*EXP(-(B95^2)/(2*(10.8^2)))</f>
        <v/>
      </c>
      <c r="F95" s="33">
        <f>23.03*EXP(-(B95^2)/(2*(10.8^2)))</f>
        <v/>
      </c>
      <c r="G95" s="33">
        <f>5.76*(EXP(-((B95+6.5)^2)/(2*(10.8^2)))+EXP(-((B95-6.5)^2)/(2*(10.8^2))))</f>
        <v/>
      </c>
      <c r="H95" s="33">
        <f>11.51*(EXP(-((B95+6.5)^2)/(2*(10.8^2)))+EXP(-((B95-6.5)^2)/(2*(10.8^2))))</f>
        <v/>
      </c>
      <c r="I95" s="33">
        <f>17.27*(EXP(-((B95+6.5)^2)/(2*(10.8^2)))+EXP(-((B95-6.5)^2)/(2*(10.8^2))))</f>
        <v/>
      </c>
      <c r="J95" s="33">
        <f>23.03*(EXP(-((B95+6.5)^2)/(2*(10.8^2)))+EXP(-((B95-6.5)^2)/(2*(10.8^2))))</f>
        <v/>
      </c>
      <c r="K95" s="33">
        <f>(0.01*(3.15^2)*(4*(1-0.35)*18/(B95^2+324))*EXP(-1.38*(B95^2)/(21.15^2)))*1000</f>
        <v/>
      </c>
      <c r="L95" s="33">
        <f>ABS(H96-H94)/2</f>
        <v/>
      </c>
    </row>
    <row r="96">
      <c r="B96" s="11" t="n">
        <v>40</v>
      </c>
      <c r="C96" s="32">
        <f>5.76*EXP(-(B96^2)/(2*(10.8^2)))</f>
        <v/>
      </c>
      <c r="D96" s="32">
        <f>11.51*EXP(-(B96^2)/(2*(10.8^2)))</f>
        <v/>
      </c>
      <c r="E96" s="32">
        <f>17.27*EXP(-(B96^2)/(2*(10.8^2)))</f>
        <v/>
      </c>
      <c r="F96" s="32">
        <f>23.03*EXP(-(B96^2)/(2*(10.8^2)))</f>
        <v/>
      </c>
      <c r="G96" s="32">
        <f>5.76*(EXP(-((B96+6.5)^2)/(2*(10.8^2)))+EXP(-((B96-6.5)^2)/(2*(10.8^2))))</f>
        <v/>
      </c>
      <c r="H96" s="32">
        <f>11.51*(EXP(-((B96+6.5)^2)/(2*(10.8^2)))+EXP(-((B96-6.5)^2)/(2*(10.8^2))))</f>
        <v/>
      </c>
      <c r="I96" s="32">
        <f>17.27*(EXP(-((B96+6.5)^2)/(2*(10.8^2)))+EXP(-((B96-6.5)^2)/(2*(10.8^2))))</f>
        <v/>
      </c>
      <c r="J96" s="32">
        <f>23.03*(EXP(-((B96+6.5)^2)/(2*(10.8^2)))+EXP(-((B96-6.5)^2)/(2*(10.8^2))))</f>
        <v/>
      </c>
      <c r="K96" s="32">
        <f>(0.01*(3.15^2)*(4*(1-0.35)*18/(B96^2+324))*EXP(-1.38*(B96^2)/(21.15^2)))*1000</f>
        <v/>
      </c>
      <c r="L96" s="32">
        <f>ABS(H97-H95)/2</f>
        <v/>
      </c>
    </row>
    <row r="97">
      <c r="B97" s="11" t="n">
        <v>41</v>
      </c>
      <c r="C97" s="33">
        <f>5.76*EXP(-(B97^2)/(2*(10.8^2)))</f>
        <v/>
      </c>
      <c r="D97" s="33">
        <f>11.51*EXP(-(B97^2)/(2*(10.8^2)))</f>
        <v/>
      </c>
      <c r="E97" s="33">
        <f>17.27*EXP(-(B97^2)/(2*(10.8^2)))</f>
        <v/>
      </c>
      <c r="F97" s="33">
        <f>23.03*EXP(-(B97^2)/(2*(10.8^2)))</f>
        <v/>
      </c>
      <c r="G97" s="33">
        <f>5.76*(EXP(-((B97+6.5)^2)/(2*(10.8^2)))+EXP(-((B97-6.5)^2)/(2*(10.8^2))))</f>
        <v/>
      </c>
      <c r="H97" s="33">
        <f>11.51*(EXP(-((B97+6.5)^2)/(2*(10.8^2)))+EXP(-((B97-6.5)^2)/(2*(10.8^2))))</f>
        <v/>
      </c>
      <c r="I97" s="33">
        <f>17.27*(EXP(-((B97+6.5)^2)/(2*(10.8^2)))+EXP(-((B97-6.5)^2)/(2*(10.8^2))))</f>
        <v/>
      </c>
      <c r="J97" s="33">
        <f>23.03*(EXP(-((B97+6.5)^2)/(2*(10.8^2)))+EXP(-((B97-6.5)^2)/(2*(10.8^2))))</f>
        <v/>
      </c>
      <c r="K97" s="33">
        <f>(0.01*(3.15^2)*(4*(1-0.35)*18/(B97^2+324))*EXP(-1.38*(B97^2)/(21.15^2)))*1000</f>
        <v/>
      </c>
      <c r="L97" s="33">
        <f>ABS(H98-H96)/2</f>
        <v/>
      </c>
    </row>
    <row r="98">
      <c r="B98" s="11" t="n">
        <v>42</v>
      </c>
      <c r="C98" s="32">
        <f>5.76*EXP(-(B98^2)/(2*(10.8^2)))</f>
        <v/>
      </c>
      <c r="D98" s="32">
        <f>11.51*EXP(-(B98^2)/(2*(10.8^2)))</f>
        <v/>
      </c>
      <c r="E98" s="32">
        <f>17.27*EXP(-(B98^2)/(2*(10.8^2)))</f>
        <v/>
      </c>
      <c r="F98" s="32">
        <f>23.03*EXP(-(B98^2)/(2*(10.8^2)))</f>
        <v/>
      </c>
      <c r="G98" s="32">
        <f>5.76*(EXP(-((B98+6.5)^2)/(2*(10.8^2)))+EXP(-((B98-6.5)^2)/(2*(10.8^2))))</f>
        <v/>
      </c>
      <c r="H98" s="32">
        <f>11.51*(EXP(-((B98+6.5)^2)/(2*(10.8^2)))+EXP(-((B98-6.5)^2)/(2*(10.8^2))))</f>
        <v/>
      </c>
      <c r="I98" s="32">
        <f>17.27*(EXP(-((B98+6.5)^2)/(2*(10.8^2)))+EXP(-((B98-6.5)^2)/(2*(10.8^2))))</f>
        <v/>
      </c>
      <c r="J98" s="32">
        <f>23.03*(EXP(-((B98+6.5)^2)/(2*(10.8^2)))+EXP(-((B98-6.5)^2)/(2*(10.8^2))))</f>
        <v/>
      </c>
      <c r="K98" s="32">
        <f>(0.01*(3.15^2)*(4*(1-0.35)*18/(B98^2+324))*EXP(-1.38*(B98^2)/(21.15^2)))*1000</f>
        <v/>
      </c>
      <c r="L98" s="32">
        <f>ABS(H99-H97)/2</f>
        <v/>
      </c>
    </row>
    <row r="99">
      <c r="B99" s="11" t="n">
        <v>43</v>
      </c>
      <c r="C99" s="33">
        <f>5.76*EXP(-(B99^2)/(2*(10.8^2)))</f>
        <v/>
      </c>
      <c r="D99" s="33">
        <f>11.51*EXP(-(B99^2)/(2*(10.8^2)))</f>
        <v/>
      </c>
      <c r="E99" s="33">
        <f>17.27*EXP(-(B99^2)/(2*(10.8^2)))</f>
        <v/>
      </c>
      <c r="F99" s="33">
        <f>23.03*EXP(-(B99^2)/(2*(10.8^2)))</f>
        <v/>
      </c>
      <c r="G99" s="33">
        <f>5.76*(EXP(-((B99+6.5)^2)/(2*(10.8^2)))+EXP(-((B99-6.5)^2)/(2*(10.8^2))))</f>
        <v/>
      </c>
      <c r="H99" s="33">
        <f>11.51*(EXP(-((B99+6.5)^2)/(2*(10.8^2)))+EXP(-((B99-6.5)^2)/(2*(10.8^2))))</f>
        <v/>
      </c>
      <c r="I99" s="33">
        <f>17.27*(EXP(-((B99+6.5)^2)/(2*(10.8^2)))+EXP(-((B99-6.5)^2)/(2*(10.8^2))))</f>
        <v/>
      </c>
      <c r="J99" s="33">
        <f>23.03*(EXP(-((B99+6.5)^2)/(2*(10.8^2)))+EXP(-((B99-6.5)^2)/(2*(10.8^2))))</f>
        <v/>
      </c>
      <c r="K99" s="33">
        <f>(0.01*(3.15^2)*(4*(1-0.35)*18/(B99^2+324))*EXP(-1.38*(B99^2)/(21.15^2)))*1000</f>
        <v/>
      </c>
      <c r="L99" s="33">
        <f>ABS(H100-H98)/2</f>
        <v/>
      </c>
    </row>
    <row r="100">
      <c r="B100" s="11" t="n">
        <v>44</v>
      </c>
      <c r="C100" s="32">
        <f>5.76*EXP(-(B100^2)/(2*(10.8^2)))</f>
        <v/>
      </c>
      <c r="D100" s="32">
        <f>11.51*EXP(-(B100^2)/(2*(10.8^2)))</f>
        <v/>
      </c>
      <c r="E100" s="32">
        <f>17.27*EXP(-(B100^2)/(2*(10.8^2)))</f>
        <v/>
      </c>
      <c r="F100" s="32">
        <f>23.03*EXP(-(B100^2)/(2*(10.8^2)))</f>
        <v/>
      </c>
      <c r="G100" s="32">
        <f>5.76*(EXP(-((B100+6.5)^2)/(2*(10.8^2)))+EXP(-((B100-6.5)^2)/(2*(10.8^2))))</f>
        <v/>
      </c>
      <c r="H100" s="32">
        <f>11.51*(EXP(-((B100+6.5)^2)/(2*(10.8^2)))+EXP(-((B100-6.5)^2)/(2*(10.8^2))))</f>
        <v/>
      </c>
      <c r="I100" s="32">
        <f>17.27*(EXP(-((B100+6.5)^2)/(2*(10.8^2)))+EXP(-((B100-6.5)^2)/(2*(10.8^2))))</f>
        <v/>
      </c>
      <c r="J100" s="32">
        <f>23.03*(EXP(-((B100+6.5)^2)/(2*(10.8^2)))+EXP(-((B100-6.5)^2)/(2*(10.8^2))))</f>
        <v/>
      </c>
      <c r="K100" s="32">
        <f>(0.01*(3.15^2)*(4*(1-0.35)*18/(B100^2+324))*EXP(-1.38*(B100^2)/(21.15^2)))*1000</f>
        <v/>
      </c>
      <c r="L100" s="32">
        <f>ABS(H101-H99)/2</f>
        <v/>
      </c>
    </row>
    <row r="101">
      <c r="B101" s="11" t="n">
        <v>45</v>
      </c>
      <c r="C101" s="33">
        <f>5.76*EXP(-(B101^2)/(2*(10.8^2)))</f>
        <v/>
      </c>
      <c r="D101" s="33">
        <f>11.51*EXP(-(B101^2)/(2*(10.8^2)))</f>
        <v/>
      </c>
      <c r="E101" s="33">
        <f>17.27*EXP(-(B101^2)/(2*(10.8^2)))</f>
        <v/>
      </c>
      <c r="F101" s="33">
        <f>23.03*EXP(-(B101^2)/(2*(10.8^2)))</f>
        <v/>
      </c>
      <c r="G101" s="33">
        <f>5.76*(EXP(-((B101+6.5)^2)/(2*(10.8^2)))+EXP(-((B101-6.5)^2)/(2*(10.8^2))))</f>
        <v/>
      </c>
      <c r="H101" s="33">
        <f>11.51*(EXP(-((B101+6.5)^2)/(2*(10.8^2)))+EXP(-((B101-6.5)^2)/(2*(10.8^2))))</f>
        <v/>
      </c>
      <c r="I101" s="33">
        <f>17.27*(EXP(-((B101+6.5)^2)/(2*(10.8^2)))+EXP(-((B101-6.5)^2)/(2*(10.8^2))))</f>
        <v/>
      </c>
      <c r="J101" s="33">
        <f>23.03*(EXP(-((B101+6.5)^2)/(2*(10.8^2)))+EXP(-((B101-6.5)^2)/(2*(10.8^2))))</f>
        <v/>
      </c>
      <c r="K101" s="33">
        <f>(0.01*(3.15^2)*(4*(1-0.35)*18/(B101^2+324))*EXP(-1.38*(B101^2)/(21.15^2)))*1000</f>
        <v/>
      </c>
      <c r="L101" s="33">
        <f>ABS(H102-H100)/2</f>
        <v/>
      </c>
    </row>
    <row r="102">
      <c r="B102" s="11" t="n">
        <v>46</v>
      </c>
      <c r="C102" s="32">
        <f>5.76*EXP(-(B102^2)/(2*(10.8^2)))</f>
        <v/>
      </c>
      <c r="D102" s="32">
        <f>11.51*EXP(-(B102^2)/(2*(10.8^2)))</f>
        <v/>
      </c>
      <c r="E102" s="32">
        <f>17.27*EXP(-(B102^2)/(2*(10.8^2)))</f>
        <v/>
      </c>
      <c r="F102" s="32">
        <f>23.03*EXP(-(B102^2)/(2*(10.8^2)))</f>
        <v/>
      </c>
      <c r="G102" s="32">
        <f>5.76*(EXP(-((B102+6.5)^2)/(2*(10.8^2)))+EXP(-((B102-6.5)^2)/(2*(10.8^2))))</f>
        <v/>
      </c>
      <c r="H102" s="32">
        <f>11.51*(EXP(-((B102+6.5)^2)/(2*(10.8^2)))+EXP(-((B102-6.5)^2)/(2*(10.8^2))))</f>
        <v/>
      </c>
      <c r="I102" s="32">
        <f>17.27*(EXP(-((B102+6.5)^2)/(2*(10.8^2)))+EXP(-((B102-6.5)^2)/(2*(10.8^2))))</f>
        <v/>
      </c>
      <c r="J102" s="32">
        <f>23.03*(EXP(-((B102+6.5)^2)/(2*(10.8^2)))+EXP(-((B102-6.5)^2)/(2*(10.8^2))))</f>
        <v/>
      </c>
      <c r="K102" s="32">
        <f>(0.01*(3.15^2)*(4*(1-0.35)*18/(B102^2+324))*EXP(-1.38*(B102^2)/(21.15^2)))*1000</f>
        <v/>
      </c>
      <c r="L102" s="32">
        <f>ABS(H103-H101)/2</f>
        <v/>
      </c>
    </row>
    <row r="103">
      <c r="B103" s="11" t="n">
        <v>47</v>
      </c>
      <c r="C103" s="33">
        <f>5.76*EXP(-(B103^2)/(2*(10.8^2)))</f>
        <v/>
      </c>
      <c r="D103" s="33">
        <f>11.51*EXP(-(B103^2)/(2*(10.8^2)))</f>
        <v/>
      </c>
      <c r="E103" s="33">
        <f>17.27*EXP(-(B103^2)/(2*(10.8^2)))</f>
        <v/>
      </c>
      <c r="F103" s="33">
        <f>23.03*EXP(-(B103^2)/(2*(10.8^2)))</f>
        <v/>
      </c>
      <c r="G103" s="33">
        <f>5.76*(EXP(-((B103+6.5)^2)/(2*(10.8^2)))+EXP(-((B103-6.5)^2)/(2*(10.8^2))))</f>
        <v/>
      </c>
      <c r="H103" s="33">
        <f>11.51*(EXP(-((B103+6.5)^2)/(2*(10.8^2)))+EXP(-((B103-6.5)^2)/(2*(10.8^2))))</f>
        <v/>
      </c>
      <c r="I103" s="33">
        <f>17.27*(EXP(-((B103+6.5)^2)/(2*(10.8^2)))+EXP(-((B103-6.5)^2)/(2*(10.8^2))))</f>
        <v/>
      </c>
      <c r="J103" s="33">
        <f>23.03*(EXP(-((B103+6.5)^2)/(2*(10.8^2)))+EXP(-((B103-6.5)^2)/(2*(10.8^2))))</f>
        <v/>
      </c>
      <c r="K103" s="33">
        <f>(0.01*(3.15^2)*(4*(1-0.35)*18/(B103^2+324))*EXP(-1.38*(B103^2)/(21.15^2)))*1000</f>
        <v/>
      </c>
      <c r="L103" s="33">
        <f>ABS(H104-H102)/2</f>
        <v/>
      </c>
    </row>
    <row r="104">
      <c r="B104" s="11" t="n">
        <v>48</v>
      </c>
      <c r="C104" s="32">
        <f>5.76*EXP(-(B104^2)/(2*(10.8^2)))</f>
        <v/>
      </c>
      <c r="D104" s="32">
        <f>11.51*EXP(-(B104^2)/(2*(10.8^2)))</f>
        <v/>
      </c>
      <c r="E104" s="32">
        <f>17.27*EXP(-(B104^2)/(2*(10.8^2)))</f>
        <v/>
      </c>
      <c r="F104" s="32">
        <f>23.03*EXP(-(B104^2)/(2*(10.8^2)))</f>
        <v/>
      </c>
      <c r="G104" s="32">
        <f>5.76*(EXP(-((B104+6.5)^2)/(2*(10.8^2)))+EXP(-((B104-6.5)^2)/(2*(10.8^2))))</f>
        <v/>
      </c>
      <c r="H104" s="32">
        <f>11.51*(EXP(-((B104+6.5)^2)/(2*(10.8^2)))+EXP(-((B104-6.5)^2)/(2*(10.8^2))))</f>
        <v/>
      </c>
      <c r="I104" s="32">
        <f>17.27*(EXP(-((B104+6.5)^2)/(2*(10.8^2)))+EXP(-((B104-6.5)^2)/(2*(10.8^2))))</f>
        <v/>
      </c>
      <c r="J104" s="32">
        <f>23.03*(EXP(-((B104+6.5)^2)/(2*(10.8^2)))+EXP(-((B104-6.5)^2)/(2*(10.8^2))))</f>
        <v/>
      </c>
      <c r="K104" s="32">
        <f>(0.01*(3.15^2)*(4*(1-0.35)*18/(B104^2+324))*EXP(-1.38*(B104^2)/(21.15^2)))*1000</f>
        <v/>
      </c>
      <c r="L104" s="32">
        <f>ABS(H105-H103)/2</f>
        <v/>
      </c>
    </row>
    <row r="105">
      <c r="B105" s="11" t="n">
        <v>49</v>
      </c>
      <c r="C105" s="33">
        <f>5.76*EXP(-(B105^2)/(2*(10.8^2)))</f>
        <v/>
      </c>
      <c r="D105" s="33">
        <f>11.51*EXP(-(B105^2)/(2*(10.8^2)))</f>
        <v/>
      </c>
      <c r="E105" s="33">
        <f>17.27*EXP(-(B105^2)/(2*(10.8^2)))</f>
        <v/>
      </c>
      <c r="F105" s="33">
        <f>23.03*EXP(-(B105^2)/(2*(10.8^2)))</f>
        <v/>
      </c>
      <c r="G105" s="33">
        <f>5.76*(EXP(-((B105+6.5)^2)/(2*(10.8^2)))+EXP(-((B105-6.5)^2)/(2*(10.8^2))))</f>
        <v/>
      </c>
      <c r="H105" s="33">
        <f>11.51*(EXP(-((B105+6.5)^2)/(2*(10.8^2)))+EXP(-((B105-6.5)^2)/(2*(10.8^2))))</f>
        <v/>
      </c>
      <c r="I105" s="33">
        <f>17.27*(EXP(-((B105+6.5)^2)/(2*(10.8^2)))+EXP(-((B105-6.5)^2)/(2*(10.8^2))))</f>
        <v/>
      </c>
      <c r="J105" s="33">
        <f>23.03*(EXP(-((B105+6.5)^2)/(2*(10.8^2)))+EXP(-((B105-6.5)^2)/(2*(10.8^2))))</f>
        <v/>
      </c>
      <c r="K105" s="33">
        <f>(0.01*(3.15^2)*(4*(1-0.35)*18/(B105^2+324))*EXP(-1.38*(B105^2)/(21.15^2)))*1000</f>
        <v/>
      </c>
      <c r="L105" s="33">
        <f>ABS(H106-H104)/2</f>
        <v/>
      </c>
    </row>
    <row r="106">
      <c r="B106" s="11" t="n">
        <v>50</v>
      </c>
      <c r="C106" s="32">
        <f>5.76*EXP(-(B106^2)/(2*(10.8^2)))</f>
        <v/>
      </c>
      <c r="D106" s="32">
        <f>11.51*EXP(-(B106^2)/(2*(10.8^2)))</f>
        <v/>
      </c>
      <c r="E106" s="32">
        <f>17.27*EXP(-(B106^2)/(2*(10.8^2)))</f>
        <v/>
      </c>
      <c r="F106" s="32">
        <f>23.03*EXP(-(B106^2)/(2*(10.8^2)))</f>
        <v/>
      </c>
      <c r="G106" s="32">
        <f>5.76*(EXP(-((B106+6.5)^2)/(2*(10.8^2)))+EXP(-((B106-6.5)^2)/(2*(10.8^2))))</f>
        <v/>
      </c>
      <c r="H106" s="32">
        <f>11.51*(EXP(-((B106+6.5)^2)/(2*(10.8^2)))+EXP(-((B106-6.5)^2)/(2*(10.8^2))))</f>
        <v/>
      </c>
      <c r="I106" s="32">
        <f>17.27*(EXP(-((B106+6.5)^2)/(2*(10.8^2)))+EXP(-((B106-6.5)^2)/(2*(10.8^2))))</f>
        <v/>
      </c>
      <c r="J106" s="32">
        <f>23.03*(EXP(-((B106+6.5)^2)/(2*(10.8^2)))+EXP(-((B106-6.5)^2)/(2*(10.8^2))))</f>
        <v/>
      </c>
      <c r="K106" s="32">
        <f>(0.01*(3.15^2)*(4*(1-0.35)*18/(B106^2+324))*EXP(-1.38*(B106^2)/(21.15^2)))*1000</f>
        <v/>
      </c>
      <c r="L106" s="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5" customWidth="1" min="2" max="2"/>
    <col width="29" customWidth="1" min="3" max="3"/>
    <col width="41" customWidth="1" min="4" max="4"/>
    <col width="27" customWidth="1" min="5" max="5"/>
    <col width="29" customWidth="1" min="6" max="6"/>
    <col width="55" customWidth="1" min="7" max="7"/>
    <col width="55" customWidth="1" min="8" max="8"/>
  </cols>
  <sheetData>
    <row r="1"/>
    <row r="2">
      <c r="B2" s="1" t="inlineStr">
        <is>
          <t>TIÊU CHUẨN ĐÁNH GIÁ NGUY CƠ HƯ HỎNG CÔNG TRÌNH (BURLAND 1995, MAIR 1996)</t>
        </is>
      </c>
    </row>
    <row r="3"/>
    <row r="4">
      <c r="B4" s="10" t="inlineStr">
        <is>
          <t>Cấp hư hỏng</t>
        </is>
      </c>
      <c r="C4" s="10" t="inlineStr">
        <is>
          <t>Mức độ phân loại</t>
        </is>
      </c>
      <c r="D4" s="10" t="inlineStr">
        <is>
          <t>Độ dốc góc xoay (Angular distortion β)</t>
        </is>
      </c>
      <c r="E4" s="10" t="inlineStr">
        <is>
          <t>Độ lún tuyệt đối Sv (mm)</t>
        </is>
      </c>
      <c r="F4" s="10" t="inlineStr">
        <is>
          <t>Biến dạng kéo ngang εh (%)</t>
        </is>
      </c>
      <c r="G4" s="10" t="inlineStr">
        <is>
          <t>Mô tả hư hỏng điển hình</t>
        </is>
      </c>
      <c r="H4" s="10" t="inlineStr">
        <is>
          <t>Biện pháp xử lý khuyến cáo</t>
        </is>
      </c>
    </row>
    <row r="5">
      <c r="B5" s="34" t="inlineStr">
        <is>
          <t>Cấp 0</t>
        </is>
      </c>
      <c r="C5" s="34" t="inlineStr">
        <is>
          <t>Không đáng kể (Negligible)</t>
        </is>
      </c>
      <c r="D5" s="35" t="inlineStr">
        <is>
          <t>&lt; 1/500 (&lt; 0.002)</t>
        </is>
      </c>
      <c r="E5" s="34" t="inlineStr">
        <is>
          <t>&lt; 10 mm</t>
        </is>
      </c>
      <c r="F5" s="35" t="inlineStr">
        <is>
          <t>&lt; 0.05%</t>
        </is>
      </c>
      <c r="G5" s="35" t="inlineStr">
        <is>
          <t>Vết nứt chân chim rất nhỏ trên bề mặt lớp trát, mắt thường khó thấy</t>
        </is>
      </c>
      <c r="H5" s="35" t="inlineStr">
        <is>
          <t>Không cần can thiệp kết cấu, quan trắc định kỳ</t>
        </is>
      </c>
    </row>
    <row r="6">
      <c r="B6" s="36" t="inlineStr">
        <is>
          <t>Cấp 1</t>
        </is>
      </c>
      <c r="C6" s="36" t="inlineStr">
        <is>
          <t>Rất nhẹ (Very Slight)</t>
        </is>
      </c>
      <c r="D6" s="37" t="inlineStr">
        <is>
          <t>1/500 – 1/333</t>
        </is>
      </c>
      <c r="E6" s="36" t="inlineStr">
        <is>
          <t>10 – 20 mm</t>
        </is>
      </c>
      <c r="F6" s="37" t="inlineStr">
        <is>
          <t>0.05% – 0.075%</t>
        </is>
      </c>
      <c r="G6" s="37" t="inlineStr">
        <is>
          <t>Vết nứt nhỏ trên vách thạch cao, tường vữa, bề rộng nứt &lt; 1mm</t>
        </is>
      </c>
      <c r="H6" s="37" t="inlineStr">
        <is>
          <t>Sơn trát lại thẩm mỹ sau khi lún ổn định</t>
        </is>
      </c>
    </row>
    <row r="7">
      <c r="B7" s="34" t="inlineStr">
        <is>
          <t>Cấp 2</t>
        </is>
      </c>
      <c r="C7" s="34" t="inlineStr">
        <is>
          <t>Nhẹ (Slight)</t>
        </is>
      </c>
      <c r="D7" s="35" t="inlineStr">
        <is>
          <t>1/333 – 1/200</t>
        </is>
      </c>
      <c r="E7" s="34" t="inlineStr">
        <is>
          <t>20 – 35 mm</t>
        </is>
      </c>
      <c r="F7" s="35" t="inlineStr">
        <is>
          <t>0.075% – 0.15%</t>
        </is>
      </c>
      <c r="G7" s="35" t="inlineStr">
        <is>
          <t>Vết nứt rõ trên tường gạch (1-5mm), cửa đi/cửa sổ có thể bị kẹt nhẹ</t>
        </is>
      </c>
      <c r="H7" s="35" t="inlineStr">
        <is>
          <t>Trát vá nứt cục bộ, kiểm tra độ kín nước đường ống</t>
        </is>
      </c>
    </row>
    <row r="8">
      <c r="B8" s="38" t="inlineStr">
        <is>
          <t>Cấp 3</t>
        </is>
      </c>
      <c r="C8" s="38" t="inlineStr">
        <is>
          <t>Vừa phải (Moderate)</t>
        </is>
      </c>
      <c r="D8" s="39" t="inlineStr">
        <is>
          <t>1/200 – 1/100</t>
        </is>
      </c>
      <c r="E8" s="38" t="inlineStr">
        <is>
          <t>35 – 50 mm</t>
        </is>
      </c>
      <c r="F8" s="39" t="inlineStr">
        <is>
          <t>0.15% – 0.3%</t>
        </is>
      </c>
      <c r="G8" s="39" t="inlineStr">
        <is>
          <t>Nứt sâu qua tường gạch (5-15mm), đường ống ngầm có nguy cơ rò rỉ</t>
        </is>
      </c>
      <c r="H8" s="39" t="inlineStr">
        <is>
          <t>Gia cường móng, phụt vữa bù lún (compensation grouting)</t>
        </is>
      </c>
    </row>
    <row r="9">
      <c r="B9" s="40" t="inlineStr">
        <is>
          <t>Cấp 4</t>
        </is>
      </c>
      <c r="C9" s="40" t="inlineStr">
        <is>
          <t>Nặng (Severe)</t>
        </is>
      </c>
      <c r="D9" s="41" t="inlineStr">
        <is>
          <t>1/100 – 1/50</t>
        </is>
      </c>
      <c r="E9" s="40" t="inlineStr">
        <is>
          <t>50 – 75 mm</t>
        </is>
      </c>
      <c r="F9" s="41" t="inlineStr">
        <is>
          <t>&gt; 0.3%</t>
        </is>
      </c>
      <c r="G9" s="41" t="inlineStr">
        <is>
          <t>Tường nứt toác (&gt;15-25mm), lệch khung kết cấu, nứt dầm/sàn bê tông</t>
        </is>
      </c>
      <c r="H9" s="41" t="inlineStr">
        <is>
          <t>Chống đỡ khẩn cấp, kích bù lún kết cấu hoặc sơ tán</t>
        </is>
      </c>
    </row>
    <row r="10">
      <c r="B10" s="40" t="inlineStr">
        <is>
          <t>Cấp 5</t>
        </is>
      </c>
      <c r="C10" s="40" t="inlineStr">
        <is>
          <t>Rất nặng (Very Severe)</t>
        </is>
      </c>
      <c r="D10" s="41" t="inlineStr">
        <is>
          <t>&gt; 1/50 (&gt; 0.02)</t>
        </is>
      </c>
      <c r="E10" s="40" t="inlineStr">
        <is>
          <t>&gt; 75 mm</t>
        </is>
      </c>
      <c r="F10" s="41" t="inlineStr">
        <is>
          <t>&gt; 0.5%</t>
        </is>
      </c>
      <c r="G10" s="41" t="inlineStr">
        <is>
          <t>Nguy cơ mất ổn định tổng thể kết cấu, sập đổ từng phần</t>
        </is>
      </c>
      <c r="H10" s="41" t="inlineStr">
        <is>
          <t>Sơ tán khẩn cấp người và tài sản, tháo dỡ công trình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2026-10-13T20:47:47Z</dcterms:created>
  <dcterms:modified xmlns:dcterms="http://purl.org/dc/terms/" xmlns:xsi="http://www.w3.org/2001/XMLSchema-instance" xsi:type="dcterms:W3CDTF">2026-10-13T20:47:47Z</dcterms:modified>
</cp:coreProperties>
</file>