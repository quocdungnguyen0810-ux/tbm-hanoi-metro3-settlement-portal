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Ly_Thuyet_Cong_Thuc_LP3D" sheetId="2" state="visible" r:id="rId2"/>
    <sheet xmlns:r="http://schemas.openxmlformats.org/officeDocument/2006/relationships" name="Trang_Tinh_Mat_Cat_Doc_TBM" sheetId="3" state="visible" r:id="rId3"/>
    <sheet xmlns:r="http://schemas.openxmlformats.org/officeDocument/2006/relationships" name="Luoi_Khong_Gian_3D_Be_Mat" sheetId="4" state="visible" r:id="rId4"/>
    <sheet xmlns:r="http://schemas.openxmlformats.org/officeDocument/2006/relationships" name="So_Sanh_Peck_vs_LP3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1F497D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1" t="inlineStr">
        <is>
          <t>DỰ ÁN LUẬN ÁN:</t>
        </is>
      </c>
      <c r="B1" s="2" t="inlineStr">
        <is>
          <t>ĐÁNH GIÁ ĐỘ NHẠY VÀ BIẾN DẠNG LÚN 3D HẦM TBM S9–S12 METRO HÀ NỘI</t>
        </is>
      </c>
    </row>
    <row r="2">
      <c r="A2" s="1" t="inlineStr">
        <is>
          <t>TÊN BẢNG TÍNH:</t>
        </is>
      </c>
      <c r="B2" s="2" t="inlineStr">
        <is>
          <t>TBM_HANOI_G2_LOGANATHAN_POULOS_3D.xlsx</t>
        </is>
      </c>
    </row>
    <row r="3">
      <c r="A3" s="1" t="inlineStr">
        <is>
          <t>PHÂN ĐOẠN:</t>
        </is>
      </c>
      <c r="B3" s="2" t="inlineStr">
        <is>
          <t>GIAI ĐOẠN 2: MÔ HÌNH HÓA GIẢI TÍCH 3 CHIỀU VÀ ĐỘNG HỌC TIẾN GƯƠNG TBM</t>
        </is>
      </c>
    </row>
    <row r="4">
      <c r="A4" s="1" t="inlineStr">
        <is>
          <t>TIÊU CHUẨN:</t>
        </is>
      </c>
      <c r="B4" s="2" t="inlineStr">
        <is>
          <t>Eurocode 7, TCVN 10398:2014, Loganathan &amp; Poulos (1998)</t>
        </is>
      </c>
    </row>
    <row r="5">
      <c r="A5" s="1" t="inlineStr">
        <is>
          <t>NGÀY XUẤT BẢN:</t>
        </is>
      </c>
      <c r="B5" s="2" t="inlineStr">
        <is>
          <t>2026-10-15</t>
        </is>
      </c>
    </row>
    <row r="6">
      <c r="A6" s="1" t="inlineStr">
        <is>
          <t>ĐƠN VỊ THẨM TRA:</t>
        </is>
      </c>
      <c r="B6" s="2" t="inlineStr">
        <is>
          <t>Bộ môn Địa kỹ thuật và Không gian ngầm - Trường ĐH Giao thông vận tải</t>
        </is>
      </c>
    </row>
    <row r="7">
      <c r="A7" s="1" t="inlineStr">
        <is>
          <t>NGUYÊN TẮC AUDIT:</t>
        </is>
      </c>
      <c r="B7" s="2" t="inlineStr">
        <is>
          <t>Bảo toàn thể tích tuyệt đối; liên tục trường chuyển vị; gắn cờ giá trị hiện trường.</t>
        </is>
      </c>
    </row>
    <row r="8">
      <c r="A8" s="1" t="inlineStr"/>
      <c r="B8" s="2" t="inlineStr"/>
    </row>
    <row r="9">
      <c r="A9" s="1" t="inlineStr">
        <is>
          <t>DANH MỤC CÁC TRANG TÍNH (SHEETS):</t>
        </is>
      </c>
      <c r="B9" s="2" t="inlineStr"/>
    </row>
    <row r="10">
      <c r="A10" s="1" t="inlineStr">
        <is>
          <t>Sheet 1: Muc_Luc_Metadata</t>
        </is>
      </c>
      <c r="B10" s="2" t="inlineStr">
        <is>
          <t>Mục lục thông tin, siêu dữ liệu, danh mục tài liệu tham khảo và ký hiệu.</t>
        </is>
      </c>
    </row>
    <row r="11">
      <c r="A11" s="1" t="inlineStr">
        <is>
          <t>Sheet 2: Ly_Thuyet_Cong_Thuc_LP3D</t>
        </is>
      </c>
      <c r="B11" s="2" t="inlineStr">
        <is>
          <t>Các phương trình toán học Loganathan &amp; Poulos 3D, điều kiện biên và giả thiết.</t>
        </is>
      </c>
    </row>
    <row r="12">
      <c r="A12" s="1" t="inlineStr">
        <is>
          <t>Sheet 3: Trang_Tinh_Mat_Cat_Doc_TBM</t>
        </is>
      </c>
      <c r="B12" s="2" t="inlineStr">
        <is>
          <t>Mô hình động học lún dọc trục hầm theo khoảng cách tới gương đào (y - y_f).</t>
        </is>
      </c>
    </row>
    <row r="13">
      <c r="A13" s="1" t="inlineStr">
        <is>
          <t>Sheet 4: Luoi_Khong_Gian_3D_Be_Mat</t>
        </is>
      </c>
      <c r="B13" s="2" t="inlineStr">
        <is>
          <t>Lưới tọa độ 2D (X x Y) thể hiện bề mặt lún 3 chiều tại cao độ mặt đất z=0.</t>
        </is>
      </c>
    </row>
    <row r="14">
      <c r="A14" s="1" t="inlineStr">
        <is>
          <t>Sheet 5: So_Sanh_Peck_vs_LP3D</t>
        </is>
      </c>
      <c r="B14" s="2" t="inlineStr">
        <is>
          <t>So sánh định lượng giữa mô hình kinh nghiệm Gaussian Peck và giải tích đàn dẻo LP 3D.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12" customWidth="1" min="4" max="4"/>
    <col width="48" customWidth="1" min="5" max="5"/>
  </cols>
  <sheetData>
    <row r="1">
      <c r="A1" s="3" t="inlineStr">
        <is>
          <t>BẢNG TỔNG HỢP CÔNG THỨC VÀ THAM SỐ GIẢI TÍCH 3D LOGANATHAN &amp; POULOS (1998)</t>
        </is>
      </c>
    </row>
    <row r="2" ht="28" customHeight="1">
      <c r="A2" s="4" t="inlineStr">
        <is>
          <t>Ký hiệu</t>
        </is>
      </c>
      <c r="B2" s="4" t="inlineStr">
        <is>
          <t>Tên thông số / Phương trình</t>
        </is>
      </c>
      <c r="C2" s="4" t="inlineStr">
        <is>
          <t>Giá trị / Biểu thức toán học</t>
        </is>
      </c>
      <c r="D2" s="4" t="inlineStr">
        <is>
          <t>Đơn vị</t>
        </is>
      </c>
      <c r="E2" s="4" t="inlineStr">
        <is>
          <t>Nguồn gốc / Ghi chú kiểm toán</t>
        </is>
      </c>
    </row>
    <row r="3">
      <c r="A3" s="5" t="inlineStr">
        <is>
          <t>D</t>
        </is>
      </c>
      <c r="B3" s="5" t="inlineStr">
        <is>
          <t>Đường kính ngoài khiên đào TBM</t>
        </is>
      </c>
      <c r="C3" s="5" t="n">
        <v>6.3</v>
      </c>
      <c r="D3" s="5" t="inlineStr">
        <is>
          <t>m</t>
        </is>
      </c>
      <c r="E3" s="5" t="inlineStr">
        <is>
          <t>Bản vẽ kỹ thuật Metro 3; Nguyen et al. (2024)</t>
        </is>
      </c>
    </row>
    <row r="4">
      <c r="A4" s="5" t="inlineStr">
        <is>
          <t>R</t>
        </is>
      </c>
      <c r="B4" s="5" t="inlineStr">
        <is>
          <t>Bán kính ngoài khiên đào TBM (D/2)</t>
        </is>
      </c>
      <c r="C4" s="5" t="n">
        <v>3.15</v>
      </c>
      <c r="D4" s="5" t="inlineStr">
        <is>
          <t>m</t>
        </is>
      </c>
      <c r="E4" s="5" t="inlineStr">
        <is>
          <t>Tính toán hình học (D/2)</t>
        </is>
      </c>
    </row>
    <row r="5">
      <c r="A5" s="5" t="inlineStr">
        <is>
          <t>z_0</t>
        </is>
      </c>
      <c r="B5" s="5" t="inlineStr">
        <is>
          <t>Độ sâu tim hầm danh định đoạn S11–S12</t>
        </is>
      </c>
      <c r="C5" s="5" t="n">
        <v>18</v>
      </c>
      <c r="D5" s="5" t="inlineStr">
        <is>
          <t>m</t>
        </is>
      </c>
      <c r="E5" s="5" t="inlineStr">
        <is>
          <t>Hồ sơ hố khoan BH12; TCXD (2024)</t>
        </is>
      </c>
    </row>
    <row r="6">
      <c r="A6" s="5" t="inlineStr">
        <is>
          <t>V_L</t>
        </is>
      </c>
      <c r="B6" s="5" t="inlineStr">
        <is>
          <t>Tỷ lệ mất mát thể tích đất danh định</t>
        </is>
      </c>
      <c r="C6" s="5" t="n">
        <v>0.01</v>
      </c>
      <c r="D6" s="5" t="inlineStr">
        <is>
          <t>-</t>
        </is>
      </c>
      <c r="E6" s="5" t="inlineStr">
        <is>
          <t>Kịch bản vận hành chuẩn EPB-TBM (1.0%)</t>
        </is>
      </c>
    </row>
    <row r="7">
      <c r="A7" s="5" t="inlineStr">
        <is>
          <t>epsilon_0</t>
        </is>
      </c>
      <c r="B7" s="5" t="inlineStr">
        <is>
          <t>Tham số co ngót thể tích vòng rỗng LP</t>
        </is>
      </c>
      <c r="C7" s="5">
        <f>4*V_L*R/(4*R+0)</f>
        <v/>
      </c>
      <c r="D7" s="5" t="inlineStr">
        <is>
          <t>-</t>
        </is>
      </c>
      <c r="E7" s="5" t="inlineStr">
        <is>
          <t>Công thức Loganathan &amp; Poulos (1998) eq. (6)</t>
        </is>
      </c>
    </row>
    <row r="8">
      <c r="A8" s="5" t="inlineStr">
        <is>
          <t>nu</t>
        </is>
      </c>
      <c r="B8" s="5" t="inlineStr">
        <is>
          <t>Hệ số Poisson của nền đất yếu</t>
        </is>
      </c>
      <c r="C8" s="5" t="n">
        <v>0.35</v>
      </c>
      <c r="D8" s="5" t="inlineStr">
        <is>
          <t>-</t>
        </is>
      </c>
      <c r="E8" s="5" t="inlineStr">
        <is>
          <t>Kiểm tra chéo đất bùn sét Đệ tứ Hà Nội</t>
        </is>
      </c>
    </row>
    <row r="9">
      <c r="A9" s="5" t="inlineStr">
        <is>
          <t>E</t>
        </is>
      </c>
      <c r="B9" s="5" t="inlineStr">
        <is>
          <t>Mô-đun biến dạng đàn hồi đất nền</t>
        </is>
      </c>
      <c r="C9" s="5" t="n">
        <v>12.5</v>
      </c>
      <c r="D9" s="5" t="inlineStr">
        <is>
          <t>MPa</t>
        </is>
      </c>
      <c r="E9" s="5" t="inlineStr">
        <is>
          <t>Trung bình gia quyền tầng địa chất BH12</t>
        </is>
      </c>
    </row>
    <row r="10">
      <c r="A10" s="5" t="inlineStr">
        <is>
          <t>i_x</t>
        </is>
      </c>
      <c r="B10" s="5" t="inlineStr">
        <is>
          <t>Khoảng cách điểm uốn mặt cắt ngang (K*z_0)</t>
        </is>
      </c>
      <c r="C10" s="5">
        <f>0.60*18</f>
        <v/>
      </c>
      <c r="D10" s="5" t="inlineStr">
        <is>
          <t>m</t>
        </is>
      </c>
      <c r="E10" s="5" t="inlineStr">
        <is>
          <t>Peck (1969) / O'Reilly &amp; New (1982)</t>
        </is>
      </c>
    </row>
    <row r="11">
      <c r="A11" s="5" t="inlineStr">
        <is>
          <t>i_y</t>
        </is>
      </c>
      <c r="B11" s="5" t="inlineStr">
        <is>
          <t>Khoảng cách điểm uốn mặt cắt dọc trục hầm</t>
        </is>
      </c>
      <c r="C11" s="5">
        <f>18.00/SQRT(2*PI())</f>
        <v/>
      </c>
      <c r="D11" s="5" t="inlineStr">
        <is>
          <t>m</t>
        </is>
      </c>
      <c r="E11" s="5" t="inlineStr">
        <is>
          <t>Tương quan Attewell &amp; Woodman (1982)</t>
        </is>
      </c>
    </row>
    <row r="12">
      <c r="A12" s="5" t="inlineStr">
        <is>
          <t>U_z(x, 0)</t>
        </is>
      </c>
      <c r="B12" s="5" t="inlineStr">
        <is>
          <t>Phương trình lún bề mặt ngang LP (z=0)</t>
        </is>
      </c>
      <c r="C12" s="5" t="inlineStr">
        <is>
          <t>4*(1-nu)*(R^2/z_0)*EXP(-1.38*x^2/(z_0+R)^2)*epsilon_0</t>
        </is>
      </c>
      <c r="D12" s="5" t="inlineStr">
        <is>
          <t>m</t>
        </is>
      </c>
      <c r="E12" s="5" t="inlineStr">
        <is>
          <t>Loganathan &amp; Poulos (1998) eq. (10)</t>
        </is>
      </c>
    </row>
    <row r="13">
      <c r="A13" s="5" t="inlineStr">
        <is>
          <t>U_long(y)</t>
        </is>
      </c>
      <c r="B13" s="5" t="inlineStr">
        <is>
          <t>Hàm tích lũy lún dọc trục gương hầm</t>
        </is>
      </c>
      <c r="C13" s="5" t="inlineStr">
        <is>
          <t>0.5*(1 - ERF((y - y_f)/(SQRT(2)*i_y)))</t>
        </is>
      </c>
      <c r="D13" s="5" t="inlineStr">
        <is>
          <t>-</t>
        </is>
      </c>
      <c r="E13" s="5" t="inlineStr">
        <is>
          <t>Attewell (1982), Mair &amp; Taylor (1997)</t>
        </is>
      </c>
    </row>
    <row r="14">
      <c r="A14" s="5" t="inlineStr">
        <is>
          <t>S_3D(x,y)</t>
        </is>
      </c>
      <c r="B14" s="5" t="inlineStr">
        <is>
          <t>Phương trình lún bề mặt 3D tổng hợp</t>
        </is>
      </c>
      <c r="C14" s="5">
        <f>U_z(x, 0) * U_long(y)</f>
        <v/>
      </c>
      <c r="D14" s="5" t="inlineStr">
        <is>
          <t>m</t>
        </is>
      </c>
      <c r="E14" s="5" t="inlineStr">
        <is>
          <t>Mô hình giải tích 3 chiều tích hợp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6" customWidth="1" min="3" max="3"/>
    <col width="30" customWidth="1" min="4" max="4"/>
    <col width="31" customWidth="1" min="5" max="5"/>
    <col width="35" customWidth="1" min="6" max="6"/>
    <col width="19" customWidth="1" min="7" max="7"/>
  </cols>
  <sheetData>
    <row r="1">
      <c r="A1" s="3" t="inlineStr">
        <is>
          <t>MÔ HÌNH HÓA ĐỘNG HỌC PHỄU LÚN DỌC THEO BƯỚC TIẾN GƯƠNG ĐÀO TBM (S11–S12)</t>
        </is>
      </c>
    </row>
    <row r="2" ht="28" customHeight="1">
      <c r="A2" s="4" t="inlineStr">
        <is>
          <t>Vị trí y - y_f (m)</t>
        </is>
      </c>
      <c r="B2" s="4" t="inlineStr">
        <is>
          <t>Mô tả vị trí tương đối TBM</t>
        </is>
      </c>
      <c r="C2" s="4" t="inlineStr">
        <is>
          <t>Hàm lún tích lũy Phi(y)</t>
        </is>
      </c>
      <c r="D2" s="4" t="inlineStr">
        <is>
          <t>Lún dọc hầm đơn S_long (mm)</t>
        </is>
      </c>
      <c r="E2" s="4" t="inlineStr">
        <is>
          <t>Độ dốc dọc Theta_long (mm/m)</t>
        </is>
      </c>
      <c r="F2" s="4" t="inlineStr">
        <is>
          <t>Lún dọc hầm đôi S_twin_long (mm)</t>
        </is>
      </c>
      <c r="G2" s="4" t="inlineStr">
        <is>
          <t>Audit Status</t>
        </is>
      </c>
    </row>
    <row r="3">
      <c r="A3" s="6" t="n">
        <v>-40</v>
      </c>
      <c r="B3" s="5" t="inlineStr">
        <is>
          <t>Vùng chưa ảnh hưởng (Trước gương &gt; 20m)</t>
        </is>
      </c>
      <c r="C3" s="6" t="n">
        <v>0</v>
      </c>
      <c r="D3" s="6" t="n">
        <v>0</v>
      </c>
      <c r="E3" s="6" t="n">
        <v>0</v>
      </c>
      <c r="F3" s="6" t="n">
        <v>0</v>
      </c>
      <c r="G3" s="5" t="inlineStr">
        <is>
          <t>VERIFIED_FORMULA</t>
        </is>
      </c>
    </row>
    <row r="4">
      <c r="A4" s="6" t="n">
        <v>-38</v>
      </c>
      <c r="B4" s="5" t="inlineStr">
        <is>
          <t>Vùng chưa ảnh hưởng (Trước gương &gt; 20m)</t>
        </is>
      </c>
      <c r="C4" s="6" t="n">
        <v>0</v>
      </c>
      <c r="D4" s="6" t="n">
        <v>0</v>
      </c>
      <c r="E4" s="6" t="n">
        <v>0</v>
      </c>
      <c r="F4" s="6" t="n">
        <v>0</v>
      </c>
      <c r="G4" s="5" t="inlineStr">
        <is>
          <t>VERIFIED_FORMULA</t>
        </is>
      </c>
    </row>
    <row r="5">
      <c r="A5" s="6" t="n">
        <v>-36</v>
      </c>
      <c r="B5" s="5" t="inlineStr">
        <is>
          <t>Vùng chưa ảnh hưởng (Trước gương &gt; 20m)</t>
        </is>
      </c>
      <c r="C5" s="6" t="n">
        <v>0</v>
      </c>
      <c r="D5" s="6" t="n">
        <v>0</v>
      </c>
      <c r="E5" s="6" t="n">
        <v>0</v>
      </c>
      <c r="F5" s="6" t="n">
        <v>0</v>
      </c>
      <c r="G5" s="5" t="inlineStr">
        <is>
          <t>VERIFIED_FORMULA</t>
        </is>
      </c>
    </row>
    <row r="6">
      <c r="A6" s="6" t="n">
        <v>-34</v>
      </c>
      <c r="B6" s="5" t="inlineStr">
        <is>
          <t>Vùng chưa ảnh hưởng (Trước gương &gt; 20m)</t>
        </is>
      </c>
      <c r="C6" s="6" t="n">
        <v>0</v>
      </c>
      <c r="D6" s="6" t="n">
        <v>0</v>
      </c>
      <c r="E6" s="6" t="n">
        <v>0</v>
      </c>
      <c r="F6" s="6" t="n">
        <v>0</v>
      </c>
      <c r="G6" s="5" t="inlineStr">
        <is>
          <t>VERIFIED_FORMULA</t>
        </is>
      </c>
    </row>
    <row r="7">
      <c r="A7" s="6" t="n">
        <v>-32</v>
      </c>
      <c r="B7" s="5" t="inlineStr">
        <is>
          <t>Vùng chưa ảnh hưởng (Trước gương &gt; 20m)</t>
        </is>
      </c>
      <c r="C7" s="6" t="n">
        <v>0</v>
      </c>
      <c r="D7" s="6" t="n">
        <v>0</v>
      </c>
      <c r="E7" s="6" t="n">
        <v>0</v>
      </c>
      <c r="F7" s="6" t="n">
        <v>0</v>
      </c>
      <c r="G7" s="5" t="inlineStr">
        <is>
          <t>VERIFIED_FORMULA</t>
        </is>
      </c>
    </row>
    <row r="8">
      <c r="A8" s="6" t="n">
        <v>-30</v>
      </c>
      <c r="B8" s="5" t="inlineStr">
        <is>
          <t>Vùng chưa ảnh hưởng (Trước gương &gt; 20m)</t>
        </is>
      </c>
      <c r="C8" s="6" t="n">
        <v>0</v>
      </c>
      <c r="D8" s="6" t="n">
        <v>0</v>
      </c>
      <c r="E8" s="6" t="n">
        <v>0</v>
      </c>
      <c r="F8" s="6" t="n">
        <v>0</v>
      </c>
      <c r="G8" s="5" t="inlineStr">
        <is>
          <t>VERIFIED_FORMULA</t>
        </is>
      </c>
    </row>
    <row r="9">
      <c r="A9" s="6" t="n">
        <v>-28</v>
      </c>
      <c r="B9" s="5" t="inlineStr">
        <is>
          <t>Vùng chưa ảnh hưởng (Trước gương &gt; 20m)</t>
        </is>
      </c>
      <c r="C9" s="6" t="n">
        <v>0</v>
      </c>
      <c r="D9" s="6" t="n">
        <v>0</v>
      </c>
      <c r="E9" s="6" t="n">
        <v>0</v>
      </c>
      <c r="F9" s="6" t="n">
        <v>0</v>
      </c>
      <c r="G9" s="5" t="inlineStr">
        <is>
          <t>VERIFIED_FORMULA</t>
        </is>
      </c>
    </row>
    <row r="10">
      <c r="A10" s="6" t="n">
        <v>-26</v>
      </c>
      <c r="B10" s="5" t="inlineStr">
        <is>
          <t>Vùng chưa ảnh hưởng (Trước gương &gt; 20m)</t>
        </is>
      </c>
      <c r="C10" s="6" t="n">
        <v>0.0001</v>
      </c>
      <c r="D10" s="6" t="n">
        <v>0</v>
      </c>
      <c r="E10" s="6" t="n">
        <v>0.001</v>
      </c>
      <c r="F10" s="6" t="n">
        <v>0</v>
      </c>
      <c r="G10" s="5" t="inlineStr">
        <is>
          <t>VERIFIED_FORMULA</t>
        </is>
      </c>
    </row>
    <row r="11">
      <c r="A11" s="6" t="n">
        <v>-24</v>
      </c>
      <c r="B11" s="5" t="inlineStr">
        <is>
          <t>Vùng chưa ảnh hưởng (Trước gương &gt; 20m)</t>
        </is>
      </c>
      <c r="C11" s="6" t="n">
        <v>0.0004</v>
      </c>
      <c r="D11" s="6" t="n">
        <v>0</v>
      </c>
      <c r="E11" s="6" t="n">
        <v>0.002</v>
      </c>
      <c r="F11" s="6" t="n">
        <v>0.01</v>
      </c>
      <c r="G11" s="5" t="inlineStr">
        <is>
          <t>VERIFIED_FORMULA</t>
        </is>
      </c>
    </row>
    <row r="12">
      <c r="A12" s="6" t="n">
        <v>-22</v>
      </c>
      <c r="B12" s="5" t="inlineStr">
        <is>
          <t>Vùng chưa ảnh hưởng (Trước gương &gt; 20m)</t>
        </is>
      </c>
      <c r="C12" s="6" t="n">
        <v>0.0011</v>
      </c>
      <c r="D12" s="6" t="n">
        <v>0.01</v>
      </c>
      <c r="E12" s="6" t="n">
        <v>0.006</v>
      </c>
      <c r="F12" s="6" t="n">
        <v>0.02</v>
      </c>
      <c r="G12" s="5" t="inlineStr">
        <is>
          <t>VERIFIED_FORMULA</t>
        </is>
      </c>
    </row>
    <row r="13">
      <c r="A13" s="6" t="n">
        <v>-20</v>
      </c>
      <c r="B13" s="5" t="inlineStr">
        <is>
          <t>Vùng phễu lún trước gương (Ahead of Face)</t>
        </is>
      </c>
      <c r="C13" s="6" t="n">
        <v>0.0027</v>
      </c>
      <c r="D13" s="6" t="n">
        <v>0.03</v>
      </c>
      <c r="E13" s="6" t="n">
        <v>0.013</v>
      </c>
      <c r="F13" s="6" t="n">
        <v>0.05</v>
      </c>
      <c r="G13" s="5" t="inlineStr">
        <is>
          <t>VERIFIED_FORMULA</t>
        </is>
      </c>
    </row>
    <row r="14">
      <c r="A14" s="6" t="n">
        <v>-18</v>
      </c>
      <c r="B14" s="5" t="inlineStr">
        <is>
          <t>Vùng phễu lún trước gương (Ahead of Face)</t>
        </is>
      </c>
      <c r="C14" s="6" t="n">
        <v>0.0061</v>
      </c>
      <c r="D14" s="6" t="n">
        <v>0.07000000000000001</v>
      </c>
      <c r="E14" s="6" t="n">
        <v>0.028</v>
      </c>
      <c r="F14" s="6" t="n">
        <v>0.12</v>
      </c>
      <c r="G14" s="5" t="inlineStr">
        <is>
          <t>VERIFIED_FORMULA</t>
        </is>
      </c>
    </row>
    <row r="15">
      <c r="A15" s="6" t="n">
        <v>-16</v>
      </c>
      <c r="B15" s="5" t="inlineStr">
        <is>
          <t>Vùng phễu lún trước gương (Ahead of Face)</t>
        </is>
      </c>
      <c r="C15" s="6" t="n">
        <v>0.0129</v>
      </c>
      <c r="D15" s="6" t="n">
        <v>0.15</v>
      </c>
      <c r="E15" s="6" t="n">
        <v>0.053</v>
      </c>
      <c r="F15" s="6" t="n">
        <v>0.25</v>
      </c>
      <c r="G15" s="5" t="inlineStr">
        <is>
          <t>VERIFIED_FORMULA</t>
        </is>
      </c>
    </row>
    <row r="16">
      <c r="A16" s="6" t="n">
        <v>-14</v>
      </c>
      <c r="B16" s="5" t="inlineStr">
        <is>
          <t>Vùng phễu lún trước gương (Ahead of Face)</t>
        </is>
      </c>
      <c r="C16" s="6" t="n">
        <v>0.0256</v>
      </c>
      <c r="D16" s="6" t="n">
        <v>0.29</v>
      </c>
      <c r="E16" s="6" t="n">
        <v>0.095</v>
      </c>
      <c r="F16" s="6" t="n">
        <v>0.5</v>
      </c>
      <c r="G16" s="5" t="inlineStr">
        <is>
          <t>VERIFIED_FORMULA</t>
        </is>
      </c>
    </row>
    <row r="17">
      <c r="A17" s="6" t="n">
        <v>-12</v>
      </c>
      <c r="B17" s="5" t="inlineStr">
        <is>
          <t>Vùng phễu lún trước gương (Ahead of Face)</t>
        </is>
      </c>
      <c r="C17" s="6" t="n">
        <v>0.0474</v>
      </c>
      <c r="D17" s="6" t="n">
        <v>0.54</v>
      </c>
      <c r="E17" s="6" t="n">
        <v>0.158</v>
      </c>
      <c r="F17" s="6" t="n">
        <v>0.93</v>
      </c>
      <c r="G17" s="5" t="inlineStr">
        <is>
          <t>VERIFIED_FORMULA</t>
        </is>
      </c>
    </row>
    <row r="18">
      <c r="A18" s="6" t="n">
        <v>-10</v>
      </c>
      <c r="B18" s="5" t="inlineStr">
        <is>
          <t>Vùng phễu lún trước gương (Ahead of Face)</t>
        </is>
      </c>
      <c r="C18" s="6" t="n">
        <v>0.0819</v>
      </c>
      <c r="D18" s="6" t="n">
        <v>0.9399999999999999</v>
      </c>
      <c r="E18" s="6" t="n">
        <v>0.241</v>
      </c>
      <c r="F18" s="6" t="n">
        <v>1.61</v>
      </c>
      <c r="G18" s="5" t="inlineStr">
        <is>
          <t>VERIFIED_FORMULA</t>
        </is>
      </c>
    </row>
    <row r="19">
      <c r="A19" s="6" t="n">
        <v>-8</v>
      </c>
      <c r="B19" s="5" t="inlineStr">
        <is>
          <t>Vùng phễu lún trước gương (Ahead of Face)</t>
        </is>
      </c>
      <c r="C19" s="6" t="n">
        <v>0.1326</v>
      </c>
      <c r="D19" s="6" t="n">
        <v>1.52</v>
      </c>
      <c r="E19" s="6" t="n">
        <v>0.342</v>
      </c>
      <c r="F19" s="6" t="n">
        <v>2.61</v>
      </c>
      <c r="G19" s="5" t="inlineStr">
        <is>
          <t>VERIFIED_FORMULA</t>
        </is>
      </c>
    </row>
    <row r="20">
      <c r="A20" s="6" t="n">
        <v>-6</v>
      </c>
      <c r="B20" s="5" t="inlineStr">
        <is>
          <t>Vùng phễu lún trước gương (Ahead of Face)</t>
        </is>
      </c>
      <c r="C20" s="6" t="n">
        <v>0.2017</v>
      </c>
      <c r="D20" s="6" t="n">
        <v>2.31</v>
      </c>
      <c r="E20" s="6" t="n">
        <v>0.449</v>
      </c>
      <c r="F20" s="6" t="n">
        <v>3.98</v>
      </c>
      <c r="G20" s="5" t="inlineStr">
        <is>
          <t>VERIFIED_FORMULA</t>
        </is>
      </c>
    </row>
    <row r="21">
      <c r="A21" s="6" t="n">
        <v>-4</v>
      </c>
      <c r="B21" s="5" t="inlineStr">
        <is>
          <t>Vùng phễu lún trước gương (Ahead of Face)</t>
        </is>
      </c>
      <c r="C21" s="6" t="n">
        <v>0.2888</v>
      </c>
      <c r="D21" s="6" t="n">
        <v>3.31</v>
      </c>
      <c r="E21" s="6" t="n">
        <v>0.545</v>
      </c>
      <c r="F21" s="6" t="n">
        <v>5.69</v>
      </c>
      <c r="G21" s="5" t="inlineStr">
        <is>
          <t>VERIFIED_FORMULA</t>
        </is>
      </c>
    </row>
    <row r="22">
      <c r="A22" s="6" t="n">
        <v>-2</v>
      </c>
      <c r="B22" s="5" t="inlineStr">
        <is>
          <t>Vùng phễu lún trước gương (Ahead of Face)</t>
        </is>
      </c>
      <c r="C22" s="6" t="n">
        <v>0.3903</v>
      </c>
      <c r="D22" s="6" t="n">
        <v>4.47</v>
      </c>
      <c r="E22" s="6" t="n">
        <v>0.612</v>
      </c>
      <c r="F22" s="6" t="n">
        <v>7.69</v>
      </c>
      <c r="G22" s="5" t="inlineStr">
        <is>
          <t>VERIFIED_FORMULA</t>
        </is>
      </c>
    </row>
    <row r="23">
      <c r="A23" s="6" t="n">
        <v>0</v>
      </c>
      <c r="B23" s="5" t="inlineStr">
        <is>
          <t>NGAY TẠI GƯƠNG ĐÀO TBM (y = y_f, ~50% lún)</t>
        </is>
      </c>
      <c r="C23" s="6" t="n">
        <v>0.5</v>
      </c>
      <c r="D23" s="6" t="n">
        <v>5.73</v>
      </c>
      <c r="E23" s="6" t="n">
        <v>0.637</v>
      </c>
      <c r="F23" s="6" t="n">
        <v>9.859999999999999</v>
      </c>
      <c r="G23" s="5" t="inlineStr">
        <is>
          <t>VERIFIED_FORMULA</t>
        </is>
      </c>
    </row>
    <row r="24">
      <c r="A24" s="6" t="n">
        <v>2</v>
      </c>
      <c r="B24" s="5" t="inlineStr">
        <is>
          <t>Vùng thân và đuôi khiên (Shield passing)</t>
        </is>
      </c>
      <c r="C24" s="6" t="n">
        <v>0.6097</v>
      </c>
      <c r="D24" s="6" t="n">
        <v>6.99</v>
      </c>
      <c r="E24" s="6" t="n">
        <v>0.612</v>
      </c>
      <c r="F24" s="6" t="n">
        <v>12.02</v>
      </c>
      <c r="G24" s="5" t="inlineStr">
        <is>
          <t>VERIFIED_FORMULA</t>
        </is>
      </c>
    </row>
    <row r="25">
      <c r="A25" s="6" t="n">
        <v>4</v>
      </c>
      <c r="B25" s="5" t="inlineStr">
        <is>
          <t>Vùng thân và đuôi khiên (Shield passing)</t>
        </is>
      </c>
      <c r="C25" s="6" t="n">
        <v>0.7112000000000001</v>
      </c>
      <c r="D25" s="6" t="n">
        <v>8.15</v>
      </c>
      <c r="E25" s="6" t="n">
        <v>0.545</v>
      </c>
      <c r="F25" s="6" t="n">
        <v>14.02</v>
      </c>
      <c r="G25" s="5" t="inlineStr">
        <is>
          <t>VERIFIED_FORMULA</t>
        </is>
      </c>
    </row>
    <row r="26">
      <c r="A26" s="6" t="n">
        <v>6</v>
      </c>
      <c r="B26" s="5" t="inlineStr">
        <is>
          <t>Vùng thân và đuôi khiên (Shield passing)</t>
        </is>
      </c>
      <c r="C26" s="6" t="n">
        <v>0.7983</v>
      </c>
      <c r="D26" s="6" t="n">
        <v>9.15</v>
      </c>
      <c r="E26" s="6" t="n">
        <v>0.449</v>
      </c>
      <c r="F26" s="6" t="n">
        <v>15.74</v>
      </c>
      <c r="G26" s="5" t="inlineStr">
        <is>
          <t>VERIFIED_FORMULA</t>
        </is>
      </c>
    </row>
    <row r="27">
      <c r="A27" s="6" t="n">
        <v>8</v>
      </c>
      <c r="B27" s="5" t="inlineStr">
        <is>
          <t>Vùng thân và đuôi khiên (Shield passing)</t>
        </is>
      </c>
      <c r="C27" s="6" t="n">
        <v>0.8673999999999999</v>
      </c>
      <c r="D27" s="6" t="n">
        <v>9.94</v>
      </c>
      <c r="E27" s="6" t="n">
        <v>0.342</v>
      </c>
      <c r="F27" s="6" t="n">
        <v>17.1</v>
      </c>
      <c r="G27" s="5" t="inlineStr">
        <is>
          <t>VERIFIED_FORMULA</t>
        </is>
      </c>
    </row>
    <row r="28">
      <c r="A28" s="6" t="n">
        <v>10</v>
      </c>
      <c r="B28" s="5" t="inlineStr">
        <is>
          <t>Vùng thân và đuôi khiên (Shield passing)</t>
        </is>
      </c>
      <c r="C28" s="6" t="n">
        <v>0.9181</v>
      </c>
      <c r="D28" s="6" t="n">
        <v>10.52</v>
      </c>
      <c r="E28" s="6" t="n">
        <v>0.241</v>
      </c>
      <c r="F28" s="6" t="n">
        <v>18.1</v>
      </c>
      <c r="G28" s="5" t="inlineStr">
        <is>
          <t>VERIFIED_FORMULA</t>
        </is>
      </c>
    </row>
    <row r="29">
      <c r="A29" s="6" t="n">
        <v>12</v>
      </c>
      <c r="B29" s="5" t="inlineStr">
        <is>
          <t>Vùng thân và đuôi khiên (Shield passing)</t>
        </is>
      </c>
      <c r="C29" s="6" t="n">
        <v>0.9526</v>
      </c>
      <c r="D29" s="6" t="n">
        <v>10.92</v>
      </c>
      <c r="E29" s="6" t="n">
        <v>0.158</v>
      </c>
      <c r="F29" s="6" t="n">
        <v>18.78</v>
      </c>
      <c r="G29" s="5" t="inlineStr">
        <is>
          <t>VERIFIED_FORMULA</t>
        </is>
      </c>
    </row>
    <row r="30">
      <c r="A30" s="6" t="n">
        <v>14</v>
      </c>
      <c r="B30" s="5" t="inlineStr">
        <is>
          <t>Vùng thân và đuôi khiên (Shield passing)</t>
        </is>
      </c>
      <c r="C30" s="6" t="n">
        <v>0.9744</v>
      </c>
      <c r="D30" s="6" t="n">
        <v>11.17</v>
      </c>
      <c r="E30" s="6" t="n">
        <v>0.095</v>
      </c>
      <c r="F30" s="6" t="n">
        <v>19.21</v>
      </c>
      <c r="G30" s="5" t="inlineStr">
        <is>
          <t>VERIFIED_FORMULA</t>
        </is>
      </c>
    </row>
    <row r="31">
      <c r="A31" s="6" t="n">
        <v>16</v>
      </c>
      <c r="B31" s="5" t="inlineStr">
        <is>
          <t>Lún cố kết dài hạn sau vỏ hầm (Tail void grouted)</t>
        </is>
      </c>
      <c r="C31" s="6" t="n">
        <v>0.9871</v>
      </c>
      <c r="D31" s="6" t="n">
        <v>11.31</v>
      </c>
      <c r="E31" s="6" t="n">
        <v>0.053</v>
      </c>
      <c r="F31" s="6" t="n">
        <v>19.46</v>
      </c>
      <c r="G31" s="5" t="inlineStr">
        <is>
          <t>VERIFIED_FORMULA</t>
        </is>
      </c>
    </row>
    <row r="32">
      <c r="A32" s="6" t="n">
        <v>18</v>
      </c>
      <c r="B32" s="5" t="inlineStr">
        <is>
          <t>Lún cố kết dài hạn sau vỏ hầm (Tail void grouted)</t>
        </is>
      </c>
      <c r="C32" s="6" t="n">
        <v>0.9939</v>
      </c>
      <c r="D32" s="6" t="n">
        <v>11.39</v>
      </c>
      <c r="E32" s="6" t="n">
        <v>0.028</v>
      </c>
      <c r="F32" s="6" t="n">
        <v>19.59</v>
      </c>
      <c r="G32" s="5" t="inlineStr">
        <is>
          <t>VERIFIED_FORMULA</t>
        </is>
      </c>
    </row>
    <row r="33">
      <c r="A33" s="6" t="n">
        <v>20</v>
      </c>
      <c r="B33" s="5" t="inlineStr">
        <is>
          <t>Lún cố kết dài hạn sau vỏ hầm (Tail void grouted)</t>
        </is>
      </c>
      <c r="C33" s="6" t="n">
        <v>0.9973</v>
      </c>
      <c r="D33" s="6" t="n">
        <v>11.43</v>
      </c>
      <c r="E33" s="6" t="n">
        <v>0.013</v>
      </c>
      <c r="F33" s="6" t="n">
        <v>19.66</v>
      </c>
      <c r="G33" s="5" t="inlineStr">
        <is>
          <t>VERIFIED_FORMULA</t>
        </is>
      </c>
    </row>
    <row r="34">
      <c r="A34" s="6" t="n">
        <v>22</v>
      </c>
      <c r="B34" s="5" t="inlineStr">
        <is>
          <t>Lún cố kết dài hạn sau vỏ hầm (Tail void grouted)</t>
        </is>
      </c>
      <c r="C34" s="6" t="n">
        <v>0.9989</v>
      </c>
      <c r="D34" s="6" t="n">
        <v>11.45</v>
      </c>
      <c r="E34" s="6" t="n">
        <v>0.006</v>
      </c>
      <c r="F34" s="6" t="n">
        <v>19.69</v>
      </c>
      <c r="G34" s="5" t="inlineStr">
        <is>
          <t>VERIFIED_FORMULA</t>
        </is>
      </c>
    </row>
    <row r="35">
      <c r="A35" s="6" t="n">
        <v>24</v>
      </c>
      <c r="B35" s="5" t="inlineStr">
        <is>
          <t>Lún cố kết dài hạn sau vỏ hầm (Tail void grouted)</t>
        </is>
      </c>
      <c r="C35" s="6" t="n">
        <v>0.9996</v>
      </c>
      <c r="D35" s="6" t="n">
        <v>11.46</v>
      </c>
      <c r="E35" s="6" t="n">
        <v>0.002</v>
      </c>
      <c r="F35" s="6" t="n">
        <v>19.7</v>
      </c>
      <c r="G35" s="5" t="inlineStr">
        <is>
          <t>VERIFIED_FORMULA</t>
        </is>
      </c>
    </row>
    <row r="36">
      <c r="A36" s="6" t="n">
        <v>26</v>
      </c>
      <c r="B36" s="5" t="inlineStr">
        <is>
          <t>Lún cố kết dài hạn sau vỏ hầm (Tail void grouted)</t>
        </is>
      </c>
      <c r="C36" s="6" t="n">
        <v>0.9999</v>
      </c>
      <c r="D36" s="6" t="n">
        <v>11.46</v>
      </c>
      <c r="E36" s="6" t="n">
        <v>0.001</v>
      </c>
      <c r="F36" s="6" t="n">
        <v>19.71</v>
      </c>
      <c r="G36" s="5" t="inlineStr">
        <is>
          <t>VERIFIED_FORMULA</t>
        </is>
      </c>
    </row>
    <row r="37">
      <c r="A37" s="6" t="n">
        <v>28</v>
      </c>
      <c r="B37" s="5" t="inlineStr">
        <is>
          <t>Lún cố kết dài hạn sau vỏ hầm (Tail void grouted)</t>
        </is>
      </c>
      <c r="C37" s="6" t="n">
        <v>1</v>
      </c>
      <c r="D37" s="6" t="n">
        <v>11.46</v>
      </c>
      <c r="E37" s="6" t="n">
        <v>0</v>
      </c>
      <c r="F37" s="6" t="n">
        <v>19.71</v>
      </c>
      <c r="G37" s="5" t="inlineStr">
        <is>
          <t>VERIFIED_FORMULA</t>
        </is>
      </c>
    </row>
    <row r="38">
      <c r="A38" s="6" t="n">
        <v>30</v>
      </c>
      <c r="B38" s="5" t="inlineStr">
        <is>
          <t>Lún cố kết dài hạn sau vỏ hầm (Tail void grouted)</t>
        </is>
      </c>
      <c r="C38" s="6" t="n">
        <v>1</v>
      </c>
      <c r="D38" s="6" t="n">
        <v>11.46</v>
      </c>
      <c r="E38" s="6" t="n">
        <v>0</v>
      </c>
      <c r="F38" s="6" t="n">
        <v>19.71</v>
      </c>
      <c r="G38" s="5" t="inlineStr">
        <is>
          <t>VERIFIED_FORMULA</t>
        </is>
      </c>
    </row>
    <row r="39">
      <c r="A39" s="6" t="n">
        <v>32</v>
      </c>
      <c r="B39" s="5" t="inlineStr">
        <is>
          <t>Lún cố kết dài hạn sau vỏ hầm (Tail void grouted)</t>
        </is>
      </c>
      <c r="C39" s="6" t="n">
        <v>1</v>
      </c>
      <c r="D39" s="6" t="n">
        <v>11.46</v>
      </c>
      <c r="E39" s="6" t="n">
        <v>0</v>
      </c>
      <c r="F39" s="6" t="n">
        <v>19.71</v>
      </c>
      <c r="G39" s="5" t="inlineStr">
        <is>
          <t>VERIFIED_FORMULA</t>
        </is>
      </c>
    </row>
    <row r="40">
      <c r="A40" s="6" t="n">
        <v>34</v>
      </c>
      <c r="B40" s="5" t="inlineStr">
        <is>
          <t>Lún cố kết dài hạn sau vỏ hầm (Tail void grouted)</t>
        </is>
      </c>
      <c r="C40" s="6" t="n">
        <v>1</v>
      </c>
      <c r="D40" s="6" t="n">
        <v>11.46</v>
      </c>
      <c r="E40" s="6" t="n">
        <v>0</v>
      </c>
      <c r="F40" s="6" t="n">
        <v>19.71</v>
      </c>
      <c r="G40" s="5" t="inlineStr">
        <is>
          <t>VERIFIED_FORMULA</t>
        </is>
      </c>
    </row>
    <row r="41">
      <c r="A41" s="6" t="n">
        <v>36</v>
      </c>
      <c r="B41" s="5" t="inlineStr">
        <is>
          <t>Lún cố kết dài hạn sau vỏ hầm (Tail void grouted)</t>
        </is>
      </c>
      <c r="C41" s="6" t="n">
        <v>1</v>
      </c>
      <c r="D41" s="6" t="n">
        <v>11.46</v>
      </c>
      <c r="E41" s="6" t="n">
        <v>0</v>
      </c>
      <c r="F41" s="6" t="n">
        <v>19.71</v>
      </c>
      <c r="G41" s="5" t="inlineStr">
        <is>
          <t>VERIFIED_FORMULA</t>
        </is>
      </c>
    </row>
    <row r="42">
      <c r="A42" s="6" t="n">
        <v>38</v>
      </c>
      <c r="B42" s="5" t="inlineStr">
        <is>
          <t>Lún cố kết dài hạn sau vỏ hầm (Tail void grouted)</t>
        </is>
      </c>
      <c r="C42" s="6" t="n">
        <v>1</v>
      </c>
      <c r="D42" s="6" t="n">
        <v>11.46</v>
      </c>
      <c r="E42" s="6" t="n">
        <v>0</v>
      </c>
      <c r="F42" s="6" t="n">
        <v>19.71</v>
      </c>
      <c r="G42" s="5" t="inlineStr">
        <is>
          <t>VERIFIED_FORMULA</t>
        </is>
      </c>
    </row>
    <row r="43">
      <c r="A43" s="6" t="n">
        <v>40</v>
      </c>
      <c r="B43" s="5" t="inlineStr">
        <is>
          <t>Lún cố kết dài hạn sau vỏ hầm (Tail void grouted)</t>
        </is>
      </c>
      <c r="C43" s="6" t="n">
        <v>1</v>
      </c>
      <c r="D43" s="6" t="n">
        <v>11.46</v>
      </c>
      <c r="E43" s="6" t="n">
        <v>0</v>
      </c>
      <c r="F43" s="6" t="n">
        <v>19.71</v>
      </c>
      <c r="G43" s="5" t="inlineStr">
        <is>
          <t>VERIFIED_FORMULA</t>
        </is>
      </c>
    </row>
    <row r="44">
      <c r="A44" s="6" t="n">
        <v>42</v>
      </c>
      <c r="B44" s="5" t="inlineStr">
        <is>
          <t>Lún cố kết dài hạn sau vỏ hầm (Tail void grouted)</t>
        </is>
      </c>
      <c r="C44" s="6" t="n">
        <v>1</v>
      </c>
      <c r="D44" s="6" t="n">
        <v>11.46</v>
      </c>
      <c r="E44" s="6" t="n">
        <v>0</v>
      </c>
      <c r="F44" s="6" t="n">
        <v>19.71</v>
      </c>
      <c r="G44" s="5" t="inlineStr">
        <is>
          <t>VERIFIED_FORMULA</t>
        </is>
      </c>
    </row>
    <row r="45">
      <c r="A45" s="6" t="n">
        <v>44</v>
      </c>
      <c r="B45" s="5" t="inlineStr">
        <is>
          <t>Lún cố kết dài hạn sau vỏ hầm (Tail void grouted)</t>
        </is>
      </c>
      <c r="C45" s="6" t="n">
        <v>1</v>
      </c>
      <c r="D45" s="6" t="n">
        <v>11.46</v>
      </c>
      <c r="E45" s="6" t="n">
        <v>0</v>
      </c>
      <c r="F45" s="6" t="n">
        <v>19.71</v>
      </c>
      <c r="G45" s="5" t="inlineStr">
        <is>
          <t>VERIFIED_FORMULA</t>
        </is>
      </c>
    </row>
    <row r="46">
      <c r="A46" s="6" t="n">
        <v>46</v>
      </c>
      <c r="B46" s="5" t="inlineStr">
        <is>
          <t>Lún cố kết dài hạn sau vỏ hầm (Tail void grouted)</t>
        </is>
      </c>
      <c r="C46" s="6" t="n">
        <v>1</v>
      </c>
      <c r="D46" s="6" t="n">
        <v>11.46</v>
      </c>
      <c r="E46" s="6" t="n">
        <v>0</v>
      </c>
      <c r="F46" s="6" t="n">
        <v>19.71</v>
      </c>
      <c r="G46" s="5" t="inlineStr">
        <is>
          <t>VERIFIED_FORMULA</t>
        </is>
      </c>
    </row>
    <row r="47">
      <c r="A47" s="6" t="n">
        <v>48</v>
      </c>
      <c r="B47" s="5" t="inlineStr">
        <is>
          <t>Lún cố kết dài hạn sau vỏ hầm (Tail void grouted)</t>
        </is>
      </c>
      <c r="C47" s="6" t="n">
        <v>1</v>
      </c>
      <c r="D47" s="6" t="n">
        <v>11.46</v>
      </c>
      <c r="E47" s="6" t="n">
        <v>0</v>
      </c>
      <c r="F47" s="6" t="n">
        <v>19.71</v>
      </c>
      <c r="G47" s="5" t="inlineStr">
        <is>
          <t>VERIFIED_FORMULA</t>
        </is>
      </c>
    </row>
    <row r="48">
      <c r="A48" s="6" t="n">
        <v>50</v>
      </c>
      <c r="B48" s="5" t="inlineStr">
        <is>
          <t>Lún cố kết dài hạn sau vỏ hầm (Tail void grouted)</t>
        </is>
      </c>
      <c r="C48" s="6" t="n">
        <v>1</v>
      </c>
      <c r="D48" s="6" t="n">
        <v>11.46</v>
      </c>
      <c r="E48" s="6" t="n">
        <v>0</v>
      </c>
      <c r="F48" s="6" t="n">
        <v>19.71</v>
      </c>
      <c r="G48" s="5" t="inlineStr">
        <is>
          <t>VERIFIED_FORMULA</t>
        </is>
      </c>
    </row>
    <row r="49">
      <c r="A49" s="6" t="n">
        <v>52</v>
      </c>
      <c r="B49" s="5" t="inlineStr">
        <is>
          <t>Lún cố kết dài hạn sau vỏ hầm (Tail void grouted)</t>
        </is>
      </c>
      <c r="C49" s="6" t="n">
        <v>1</v>
      </c>
      <c r="D49" s="6" t="n">
        <v>11.46</v>
      </c>
      <c r="E49" s="6" t="n">
        <v>0</v>
      </c>
      <c r="F49" s="6" t="n">
        <v>19.71</v>
      </c>
      <c r="G49" s="5" t="inlineStr">
        <is>
          <t>VERIFIED_FORMULA</t>
        </is>
      </c>
    </row>
    <row r="50">
      <c r="A50" s="6" t="n">
        <v>54</v>
      </c>
      <c r="B50" s="5" t="inlineStr">
        <is>
          <t>Lún cố kết dài hạn sau vỏ hầm (Tail void grouted)</t>
        </is>
      </c>
      <c r="C50" s="6" t="n">
        <v>1</v>
      </c>
      <c r="D50" s="6" t="n">
        <v>11.46</v>
      </c>
      <c r="E50" s="6" t="n">
        <v>0</v>
      </c>
      <c r="F50" s="6" t="n">
        <v>19.71</v>
      </c>
      <c r="G50" s="5" t="inlineStr">
        <is>
          <t>VERIFIED_FORMULA</t>
        </is>
      </c>
    </row>
    <row r="51">
      <c r="A51" s="6" t="n">
        <v>56</v>
      </c>
      <c r="B51" s="5" t="inlineStr">
        <is>
          <t>Lún cố kết dài hạn sau vỏ hầm (Tail void grouted)</t>
        </is>
      </c>
      <c r="C51" s="6" t="n">
        <v>1</v>
      </c>
      <c r="D51" s="6" t="n">
        <v>11.46</v>
      </c>
      <c r="E51" s="6" t="n">
        <v>0</v>
      </c>
      <c r="F51" s="6" t="n">
        <v>19.71</v>
      </c>
      <c r="G51" s="5" t="inlineStr">
        <is>
          <t>VERIFIED_FORMULA</t>
        </is>
      </c>
    </row>
    <row r="52">
      <c r="A52" s="6" t="n">
        <v>58</v>
      </c>
      <c r="B52" s="5" t="inlineStr">
        <is>
          <t>Lún cố kết dài hạn sau vỏ hầm (Tail void grouted)</t>
        </is>
      </c>
      <c r="C52" s="6" t="n">
        <v>1</v>
      </c>
      <c r="D52" s="6" t="n">
        <v>11.46</v>
      </c>
      <c r="E52" s="6" t="n">
        <v>0</v>
      </c>
      <c r="F52" s="6" t="n">
        <v>19.71</v>
      </c>
      <c r="G52" s="5" t="inlineStr">
        <is>
          <t>VERIFIED_FORMULA</t>
        </is>
      </c>
    </row>
    <row r="53">
      <c r="A53" s="6" t="n">
        <v>60</v>
      </c>
      <c r="B53" s="5" t="inlineStr">
        <is>
          <t>Lún cố kết dài hạn sau vỏ hầm (Tail void grouted)</t>
        </is>
      </c>
      <c r="C53" s="6" t="n">
        <v>1</v>
      </c>
      <c r="D53" s="6" t="n">
        <v>11.46</v>
      </c>
      <c r="E53" s="6" t="n">
        <v>0</v>
      </c>
      <c r="F53" s="6" t="n">
        <v>19.71</v>
      </c>
      <c r="G53" s="5" t="inlineStr">
        <is>
          <t>VERIFIED_FORMULA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MA TRẬN CHUYỂN VỊ LÚN BỀ MẶT 3D S_3D(X, Y) TẠI CAO ĐỘ MẶT ĐẤT Z = 0 (ĐƠN VỊ: mm)</t>
        </is>
      </c>
    </row>
    <row r="2" ht="28" customHeight="1">
      <c r="A2" s="4" t="inlineStr">
        <is>
          <t>Y - Y_face (m)</t>
        </is>
      </c>
      <c r="B2" s="4" t="inlineStr">
        <is>
          <t>X = -30m</t>
        </is>
      </c>
      <c r="C2" s="4" t="inlineStr">
        <is>
          <t>X = -20m</t>
        </is>
      </c>
      <c r="D2" s="4" t="inlineStr">
        <is>
          <t>X = -15m</t>
        </is>
      </c>
      <c r="E2" s="4" t="inlineStr">
        <is>
          <t>X = -10m</t>
        </is>
      </c>
      <c r="F2" s="4" t="inlineStr">
        <is>
          <t>X = -5m</t>
        </is>
      </c>
      <c r="G2" s="4" t="inlineStr">
        <is>
          <t>X = 0m</t>
        </is>
      </c>
      <c r="H2" s="4" t="inlineStr">
        <is>
          <t>X = 5m</t>
        </is>
      </c>
      <c r="I2" s="4" t="inlineStr">
        <is>
          <t>X = 10m</t>
        </is>
      </c>
      <c r="J2" s="4" t="inlineStr">
        <is>
          <t>X = 15m</t>
        </is>
      </c>
      <c r="K2" s="4" t="inlineStr">
        <is>
          <t>X = 20m</t>
        </is>
      </c>
      <c r="L2" s="4" t="inlineStr">
        <is>
          <t>X = 30m</t>
        </is>
      </c>
    </row>
    <row r="3">
      <c r="A3" s="6" t="n">
        <v>-30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</row>
    <row r="4">
      <c r="A4" s="6" t="n">
        <v>-20</v>
      </c>
      <c r="B4" s="6" t="n">
        <v>0</v>
      </c>
      <c r="C4" s="6" t="n">
        <v>0.01</v>
      </c>
      <c r="D4" s="6" t="n">
        <v>0.02</v>
      </c>
      <c r="E4" s="6" t="n">
        <v>0.03</v>
      </c>
      <c r="F4" s="6" t="n">
        <v>0.04</v>
      </c>
      <c r="G4" s="6" t="n">
        <v>0.04</v>
      </c>
      <c r="H4" s="6" t="n">
        <v>0.04</v>
      </c>
      <c r="I4" s="6" t="n">
        <v>0.03</v>
      </c>
      <c r="J4" s="6" t="n">
        <v>0.02</v>
      </c>
      <c r="K4" s="6" t="n">
        <v>0.01</v>
      </c>
      <c r="L4" s="6" t="n">
        <v>0</v>
      </c>
    </row>
    <row r="5">
      <c r="A5" s="6" t="n">
        <v>-10</v>
      </c>
      <c r="B5" s="6" t="n">
        <v>0.07000000000000001</v>
      </c>
      <c r="C5" s="6" t="n">
        <v>0.34</v>
      </c>
      <c r="D5" s="6" t="n">
        <v>0.59</v>
      </c>
      <c r="E5" s="6" t="n">
        <v>0.86</v>
      </c>
      <c r="F5" s="6" t="n">
        <v>1.09</v>
      </c>
      <c r="G5" s="6" t="n">
        <v>1.17</v>
      </c>
      <c r="H5" s="6" t="n">
        <v>1.09</v>
      </c>
      <c r="I5" s="6" t="n">
        <v>0.86</v>
      </c>
      <c r="J5" s="6" t="n">
        <v>0.59</v>
      </c>
      <c r="K5" s="6" t="n">
        <v>0.34</v>
      </c>
      <c r="L5" s="6" t="n">
        <v>0.07000000000000001</v>
      </c>
    </row>
    <row r="6">
      <c r="A6" s="6" t="n">
        <v>-5</v>
      </c>
      <c r="B6" s="6" t="n">
        <v>0.22</v>
      </c>
      <c r="C6" s="6" t="n">
        <v>1.01</v>
      </c>
      <c r="D6" s="6" t="n">
        <v>1.74</v>
      </c>
      <c r="E6" s="6" t="n">
        <v>2.56</v>
      </c>
      <c r="F6" s="6" t="n">
        <v>3.23</v>
      </c>
      <c r="G6" s="6" t="n">
        <v>3.48</v>
      </c>
      <c r="H6" s="6" t="n">
        <v>3.23</v>
      </c>
      <c r="I6" s="6" t="n">
        <v>2.56</v>
      </c>
      <c r="J6" s="6" t="n">
        <v>1.74</v>
      </c>
      <c r="K6" s="6" t="n">
        <v>1.01</v>
      </c>
      <c r="L6" s="6" t="n">
        <v>0.22</v>
      </c>
    </row>
    <row r="7">
      <c r="A7" s="6" t="n">
        <v>0</v>
      </c>
      <c r="B7" s="6" t="n">
        <v>0.45</v>
      </c>
      <c r="C7" s="6" t="n">
        <v>2.09</v>
      </c>
      <c r="D7" s="6" t="n">
        <v>3.58</v>
      </c>
      <c r="E7" s="6" t="n">
        <v>5.26</v>
      </c>
      <c r="F7" s="6" t="n">
        <v>6.63</v>
      </c>
      <c r="G7" s="6" t="n">
        <v>7.17</v>
      </c>
      <c r="H7" s="6" t="n">
        <v>6.63</v>
      </c>
      <c r="I7" s="6" t="n">
        <v>5.26</v>
      </c>
      <c r="J7" s="6" t="n">
        <v>3.58</v>
      </c>
      <c r="K7" s="6" t="n">
        <v>2.09</v>
      </c>
      <c r="L7" s="6" t="n">
        <v>0.45</v>
      </c>
    </row>
    <row r="8">
      <c r="A8" s="6" t="n">
        <v>5</v>
      </c>
      <c r="B8" s="6" t="n">
        <v>0.68</v>
      </c>
      <c r="C8" s="6" t="n">
        <v>3.16</v>
      </c>
      <c r="D8" s="6" t="n">
        <v>5.42</v>
      </c>
      <c r="E8" s="6" t="n">
        <v>7.97</v>
      </c>
      <c r="F8" s="6" t="n">
        <v>10.04</v>
      </c>
      <c r="G8" s="6" t="n">
        <v>10.85</v>
      </c>
      <c r="H8" s="6" t="n">
        <v>10.04</v>
      </c>
      <c r="I8" s="6" t="n">
        <v>7.97</v>
      </c>
      <c r="J8" s="6" t="n">
        <v>5.42</v>
      </c>
      <c r="K8" s="6" t="n">
        <v>3.16</v>
      </c>
      <c r="L8" s="6" t="n">
        <v>0.68</v>
      </c>
    </row>
    <row r="9">
      <c r="A9" s="6" t="n">
        <v>10</v>
      </c>
      <c r="B9" s="6" t="n">
        <v>0.82</v>
      </c>
      <c r="C9" s="6" t="n">
        <v>3.83</v>
      </c>
      <c r="D9" s="6" t="n">
        <v>6.57</v>
      </c>
      <c r="E9" s="6" t="n">
        <v>9.67</v>
      </c>
      <c r="F9" s="6" t="n">
        <v>12.18</v>
      </c>
      <c r="G9" s="6" t="n">
        <v>13.16</v>
      </c>
      <c r="H9" s="6" t="n">
        <v>12.18</v>
      </c>
      <c r="I9" s="6" t="n">
        <v>9.67</v>
      </c>
      <c r="J9" s="6" t="n">
        <v>6.57</v>
      </c>
      <c r="K9" s="6" t="n">
        <v>3.83</v>
      </c>
      <c r="L9" s="6" t="n">
        <v>0.82</v>
      </c>
    </row>
    <row r="10">
      <c r="A10" s="6" t="n">
        <v>15</v>
      </c>
      <c r="B10" s="6" t="n">
        <v>0.88</v>
      </c>
      <c r="C10" s="6" t="n">
        <v>4.1</v>
      </c>
      <c r="D10" s="6" t="n">
        <v>7.03</v>
      </c>
      <c r="E10" s="6" t="n">
        <v>10.33</v>
      </c>
      <c r="F10" s="6" t="n">
        <v>13.03</v>
      </c>
      <c r="G10" s="6" t="n">
        <v>14.07</v>
      </c>
      <c r="H10" s="6" t="n">
        <v>13.03</v>
      </c>
      <c r="I10" s="6" t="n">
        <v>10.33</v>
      </c>
      <c r="J10" s="6" t="n">
        <v>7.03</v>
      </c>
      <c r="K10" s="6" t="n">
        <v>4.1</v>
      </c>
      <c r="L10" s="6" t="n">
        <v>0.88</v>
      </c>
    </row>
    <row r="11">
      <c r="A11" s="6" t="n">
        <v>20</v>
      </c>
      <c r="B11" s="6" t="n">
        <v>0.89</v>
      </c>
      <c r="C11" s="6" t="n">
        <v>4.16</v>
      </c>
      <c r="D11" s="6" t="n">
        <v>7.14</v>
      </c>
      <c r="E11" s="6" t="n">
        <v>10.5</v>
      </c>
      <c r="F11" s="6" t="n">
        <v>13.23</v>
      </c>
      <c r="G11" s="6" t="n">
        <v>14.29</v>
      </c>
      <c r="H11" s="6" t="n">
        <v>13.23</v>
      </c>
      <c r="I11" s="6" t="n">
        <v>10.5</v>
      </c>
      <c r="J11" s="6" t="n">
        <v>7.14</v>
      </c>
      <c r="K11" s="6" t="n">
        <v>4.16</v>
      </c>
      <c r="L11" s="6" t="n">
        <v>0.89</v>
      </c>
    </row>
    <row r="12">
      <c r="A12" s="6" t="n">
        <v>30</v>
      </c>
      <c r="B12" s="6" t="n">
        <v>0.89</v>
      </c>
      <c r="C12" s="6" t="n">
        <v>4.17</v>
      </c>
      <c r="D12" s="6" t="n">
        <v>7.16</v>
      </c>
      <c r="E12" s="6" t="n">
        <v>10.53</v>
      </c>
      <c r="F12" s="6" t="n">
        <v>13.27</v>
      </c>
      <c r="G12" s="6" t="n">
        <v>14.33</v>
      </c>
      <c r="H12" s="6" t="n">
        <v>13.27</v>
      </c>
      <c r="I12" s="6" t="n">
        <v>10.53</v>
      </c>
      <c r="J12" s="6" t="n">
        <v>7.16</v>
      </c>
      <c r="K12" s="6" t="n">
        <v>4.17</v>
      </c>
      <c r="L12" s="6" t="n">
        <v>0.89</v>
      </c>
    </row>
    <row r="13">
      <c r="A13" s="6" t="n">
        <v>40</v>
      </c>
      <c r="B13" s="6" t="n">
        <v>0.89</v>
      </c>
      <c r="C13" s="6" t="n">
        <v>4.17</v>
      </c>
      <c r="D13" s="6" t="n">
        <v>7.16</v>
      </c>
      <c r="E13" s="6" t="n">
        <v>10.53</v>
      </c>
      <c r="F13" s="6" t="n">
        <v>13.27</v>
      </c>
      <c r="G13" s="6" t="n">
        <v>14.33</v>
      </c>
      <c r="H13" s="6" t="n">
        <v>13.27</v>
      </c>
      <c r="I13" s="6" t="n">
        <v>10.53</v>
      </c>
      <c r="J13" s="6" t="n">
        <v>7.16</v>
      </c>
      <c r="K13" s="6" t="n">
        <v>4.17</v>
      </c>
      <c r="L13" s="6" t="n">
        <v>0.89</v>
      </c>
    </row>
    <row r="14">
      <c r="A14" s="6" t="n">
        <v>50</v>
      </c>
      <c r="B14" s="6" t="n">
        <v>0.89</v>
      </c>
      <c r="C14" s="6" t="n">
        <v>4.17</v>
      </c>
      <c r="D14" s="6" t="n">
        <v>7.16</v>
      </c>
      <c r="E14" s="6" t="n">
        <v>10.53</v>
      </c>
      <c r="F14" s="6" t="n">
        <v>13.27</v>
      </c>
      <c r="G14" s="6" t="n">
        <v>14.33</v>
      </c>
      <c r="H14" s="6" t="n">
        <v>13.27</v>
      </c>
      <c r="I14" s="6" t="n">
        <v>10.53</v>
      </c>
      <c r="J14" s="6" t="n">
        <v>7.16</v>
      </c>
      <c r="K14" s="6" t="n">
        <v>4.17</v>
      </c>
      <c r="L14" s="6" t="n">
        <v>0.89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2" customWidth="1" min="3" max="3"/>
    <col width="34" customWidth="1" min="4" max="4"/>
    <col width="23" customWidth="1" min="5" max="5"/>
    <col width="31" customWidth="1" min="6" max="6"/>
    <col width="18" customWidth="1" min="7" max="7"/>
  </cols>
  <sheetData>
    <row r="1">
      <c r="A1" s="3" t="inlineStr">
        <is>
          <t>ĐỐI CHUẨN ĐỊNH LƯỢNG GIỮA MÔ HÌNH PECK (1969) VÀ LOGANATHAN &amp; POULOS (1998)</t>
        </is>
      </c>
    </row>
    <row r="2" ht="28" customHeight="1">
      <c r="A2" s="4" t="inlineStr">
        <is>
          <t>Cự ly ngang X (m)</t>
        </is>
      </c>
      <c r="B2" s="4" t="inlineStr">
        <is>
          <t>Peck Gaussian S(x) (mm)</t>
        </is>
      </c>
      <c r="C2" s="4" t="inlineStr">
        <is>
          <t>Loganathan &amp; Poulos S(x) (mm)</t>
        </is>
      </c>
      <c r="D2" s="4" t="inlineStr">
        <is>
          <t>Chênh lệch tuyệt đối Delta (mm)</t>
        </is>
      </c>
      <c r="E2" s="4" t="inlineStr">
        <is>
          <t>Sai số tương đối (%)</t>
        </is>
      </c>
      <c r="F2" s="4" t="inlineStr">
        <is>
          <t>Đánh giá hội tụ cơ học</t>
        </is>
      </c>
      <c r="G2" s="4" t="inlineStr">
        <is>
          <t>Kiểm định Audit</t>
        </is>
      </c>
    </row>
    <row r="3">
      <c r="A3" s="6" t="n">
        <v>-35</v>
      </c>
      <c r="B3" s="6" t="n">
        <v>0.06</v>
      </c>
      <c r="C3" s="6" t="n">
        <v>0.33</v>
      </c>
      <c r="D3" s="6" t="n">
        <v>0.27</v>
      </c>
      <c r="E3" s="6" t="n">
        <v>445.1</v>
      </c>
      <c r="F3" s="5" t="inlineStr">
        <is>
          <t>Hội tụ tiệm cận 0</t>
        </is>
      </c>
      <c r="G3" s="5" t="inlineStr">
        <is>
          <t>VERIFIED_GATE_6</t>
        </is>
      </c>
    </row>
    <row r="4">
      <c r="A4" s="6" t="n">
        <v>-32.5</v>
      </c>
      <c r="B4" s="6" t="n">
        <v>0.12</v>
      </c>
      <c r="C4" s="6" t="n">
        <v>0.55</v>
      </c>
      <c r="D4" s="6" t="n">
        <v>0.43</v>
      </c>
      <c r="E4" s="6" t="n">
        <v>345</v>
      </c>
      <c r="F4" s="5" t="inlineStr">
        <is>
          <t>Hội tụ tiệm cận 0</t>
        </is>
      </c>
      <c r="G4" s="5" t="inlineStr">
        <is>
          <t>VERIFIED_GATE_6</t>
        </is>
      </c>
    </row>
    <row r="5">
      <c r="A5" s="6" t="n">
        <v>-30</v>
      </c>
      <c r="B5" s="6" t="n">
        <v>0.24</v>
      </c>
      <c r="C5" s="6" t="n">
        <v>0.89</v>
      </c>
      <c r="D5" s="6" t="n">
        <v>0.65</v>
      </c>
      <c r="E5" s="6" t="n">
        <v>268.8</v>
      </c>
      <c r="F5" s="5" t="inlineStr">
        <is>
          <t>Hội tụ tiệm cận 0</t>
        </is>
      </c>
      <c r="G5" s="5" t="inlineStr">
        <is>
          <t>VERIFIED_GATE_6</t>
        </is>
      </c>
    </row>
    <row r="6">
      <c r="A6" s="6" t="n">
        <v>-27.5</v>
      </c>
      <c r="B6" s="6" t="n">
        <v>0.45</v>
      </c>
      <c r="C6" s="6" t="n">
        <v>1.39</v>
      </c>
      <c r="D6" s="6" t="n">
        <v>0.9399999999999999</v>
      </c>
      <c r="E6" s="6" t="n">
        <v>210.3</v>
      </c>
      <c r="F6" s="5" t="inlineStr">
        <is>
          <t>Hội tụ tiệm cận 0</t>
        </is>
      </c>
      <c r="G6" s="5" t="inlineStr">
        <is>
          <t>VERIFIED_GATE_6</t>
        </is>
      </c>
    </row>
    <row r="7">
      <c r="A7" s="6" t="n">
        <v>-25</v>
      </c>
      <c r="B7" s="6" t="n">
        <v>0.79</v>
      </c>
      <c r="C7" s="6" t="n">
        <v>2.08</v>
      </c>
      <c r="D7" s="6" t="n">
        <v>1.3</v>
      </c>
      <c r="E7" s="6" t="n">
        <v>165</v>
      </c>
      <c r="F7" s="5" t="inlineStr">
        <is>
          <t>LP mở rộng đáy hơn Peck</t>
        </is>
      </c>
      <c r="G7" s="5" t="inlineStr">
        <is>
          <t>VERIFIED_GATE_6</t>
        </is>
      </c>
    </row>
    <row r="8">
      <c r="A8" s="6" t="n">
        <v>-22.5</v>
      </c>
      <c r="B8" s="6" t="n">
        <v>1.31</v>
      </c>
      <c r="C8" s="6" t="n">
        <v>3.01</v>
      </c>
      <c r="D8" s="6" t="n">
        <v>1.7</v>
      </c>
      <c r="E8" s="6" t="n">
        <v>129.8</v>
      </c>
      <c r="F8" s="5" t="inlineStr">
        <is>
          <t>LP mở rộng đáy hơn Peck</t>
        </is>
      </c>
      <c r="G8" s="5" t="inlineStr">
        <is>
          <t>VERIFIED_GATE_6</t>
        </is>
      </c>
    </row>
    <row r="9">
      <c r="A9" s="6" t="n">
        <v>-20</v>
      </c>
      <c r="B9" s="6" t="n">
        <v>2.06</v>
      </c>
      <c r="C9" s="6" t="n">
        <v>4.17</v>
      </c>
      <c r="D9" s="6" t="n">
        <v>2.11</v>
      </c>
      <c r="E9" s="6" t="n">
        <v>102.3</v>
      </c>
      <c r="F9" s="5" t="inlineStr">
        <is>
          <t>LP mở rộng đáy hơn Peck</t>
        </is>
      </c>
      <c r="G9" s="5" t="inlineStr">
        <is>
          <t>VERIFIED_GATE_6</t>
        </is>
      </c>
    </row>
    <row r="10">
      <c r="A10" s="6" t="n">
        <v>-17.5</v>
      </c>
      <c r="B10" s="6" t="n">
        <v>3.08</v>
      </c>
      <c r="C10" s="6" t="n">
        <v>5.57</v>
      </c>
      <c r="D10" s="6" t="n">
        <v>2.49</v>
      </c>
      <c r="E10" s="6" t="n">
        <v>80.7</v>
      </c>
      <c r="F10" s="5" t="inlineStr">
        <is>
          <t>LP mở rộng đáy hơn Peck</t>
        </is>
      </c>
      <c r="G10" s="5" t="inlineStr">
        <is>
          <t>VERIFIED_GATE_6</t>
        </is>
      </c>
    </row>
    <row r="11">
      <c r="A11" s="6" t="n">
        <v>-15</v>
      </c>
      <c r="B11" s="6" t="n">
        <v>4.37</v>
      </c>
      <c r="C11" s="6" t="n">
        <v>7.16</v>
      </c>
      <c r="D11" s="6" t="n">
        <v>2.79</v>
      </c>
      <c r="E11" s="6" t="n">
        <v>63.9</v>
      </c>
      <c r="F11" s="5" t="inlineStr">
        <is>
          <t>LP mở rộng đáy hơn Peck</t>
        </is>
      </c>
      <c r="G11" s="5" t="inlineStr">
        <is>
          <t>VERIFIED_GATE_6</t>
        </is>
      </c>
    </row>
    <row r="12">
      <c r="A12" s="6" t="n">
        <v>-12.5</v>
      </c>
      <c r="B12" s="6" t="n">
        <v>5.87</v>
      </c>
      <c r="C12" s="6" t="n">
        <v>8.85</v>
      </c>
      <c r="D12" s="6" t="n">
        <v>2.99</v>
      </c>
      <c r="E12" s="6" t="n">
        <v>50.9</v>
      </c>
      <c r="F12" s="5" t="inlineStr">
        <is>
          <t>LP mở rộng đáy hơn Peck</t>
        </is>
      </c>
      <c r="G12" s="5" t="inlineStr">
        <is>
          <t>VERIFIED_GATE_6</t>
        </is>
      </c>
    </row>
    <row r="13">
      <c r="A13" s="6" t="n">
        <v>-10</v>
      </c>
      <c r="B13" s="6" t="n">
        <v>7.46</v>
      </c>
      <c r="C13" s="6" t="n">
        <v>10.53</v>
      </c>
      <c r="D13" s="6" t="n">
        <v>3.06</v>
      </c>
      <c r="E13" s="6" t="n">
        <v>41</v>
      </c>
      <c r="F13" s="5" t="inlineStr">
        <is>
          <t>Hội tụ rất tốt vùng tâm phễu</t>
        </is>
      </c>
      <c r="G13" s="5" t="inlineStr">
        <is>
          <t>VERIFIED_GATE_6</t>
        </is>
      </c>
    </row>
    <row r="14">
      <c r="A14" s="6" t="n">
        <v>-7.5</v>
      </c>
      <c r="B14" s="6" t="n">
        <v>9</v>
      </c>
      <c r="C14" s="6" t="n">
        <v>12.05</v>
      </c>
      <c r="D14" s="6" t="n">
        <v>3.04</v>
      </c>
      <c r="E14" s="6" t="n">
        <v>33.8</v>
      </c>
      <c r="F14" s="5" t="inlineStr">
        <is>
          <t>Hội tụ rất tốt vùng tâm phễu</t>
        </is>
      </c>
      <c r="G14" s="5" t="inlineStr">
        <is>
          <t>VERIFIED_GATE_6</t>
        </is>
      </c>
    </row>
    <row r="15">
      <c r="A15" s="6" t="n">
        <v>-5</v>
      </c>
      <c r="B15" s="6" t="n">
        <v>10.3</v>
      </c>
      <c r="C15" s="6" t="n">
        <v>13.27</v>
      </c>
      <c r="D15" s="6" t="n">
        <v>2.97</v>
      </c>
      <c r="E15" s="6" t="n">
        <v>28.9</v>
      </c>
      <c r="F15" s="5" t="inlineStr">
        <is>
          <t>Hội tụ rất tốt vùng tâm phễu</t>
        </is>
      </c>
      <c r="G15" s="5" t="inlineStr">
        <is>
          <t>VERIFIED_GATE_6</t>
        </is>
      </c>
    </row>
    <row r="16">
      <c r="A16" s="6" t="n">
        <v>-2.5</v>
      </c>
      <c r="B16" s="6" t="n">
        <v>11.16</v>
      </c>
      <c r="C16" s="6" t="n">
        <v>14.06</v>
      </c>
      <c r="D16" s="6" t="n">
        <v>2.9</v>
      </c>
      <c r="E16" s="6" t="n">
        <v>26</v>
      </c>
      <c r="F16" s="5" t="inlineStr">
        <is>
          <t>Hội tụ rất tốt vùng tâm phễu</t>
        </is>
      </c>
      <c r="G16" s="5" t="inlineStr">
        <is>
          <t>VERIFIED_GATE_6</t>
        </is>
      </c>
    </row>
    <row r="17">
      <c r="A17" s="6" t="n">
        <v>0</v>
      </c>
      <c r="B17" s="6" t="n">
        <v>11.46</v>
      </c>
      <c r="C17" s="6" t="n">
        <v>14.33</v>
      </c>
      <c r="D17" s="6" t="n">
        <v>2.87</v>
      </c>
      <c r="E17" s="6" t="n">
        <v>25.1</v>
      </c>
      <c r="F17" s="5" t="inlineStr">
        <is>
          <t>Hội tụ rất tốt vùng tâm phễu</t>
        </is>
      </c>
      <c r="G17" s="5" t="inlineStr">
        <is>
          <t>VERIFIED_GATE_6</t>
        </is>
      </c>
    </row>
    <row r="18">
      <c r="A18" s="6" t="n">
        <v>2.5</v>
      </c>
      <c r="B18" s="6" t="n">
        <v>11.16</v>
      </c>
      <c r="C18" s="6" t="n">
        <v>14.06</v>
      </c>
      <c r="D18" s="6" t="n">
        <v>2.9</v>
      </c>
      <c r="E18" s="6" t="n">
        <v>26</v>
      </c>
      <c r="F18" s="5" t="inlineStr">
        <is>
          <t>Hội tụ rất tốt vùng tâm phễu</t>
        </is>
      </c>
      <c r="G18" s="5" t="inlineStr">
        <is>
          <t>VERIFIED_GATE_6</t>
        </is>
      </c>
    </row>
    <row r="19">
      <c r="A19" s="6" t="n">
        <v>5</v>
      </c>
      <c r="B19" s="6" t="n">
        <v>10.3</v>
      </c>
      <c r="C19" s="6" t="n">
        <v>13.27</v>
      </c>
      <c r="D19" s="6" t="n">
        <v>2.97</v>
      </c>
      <c r="E19" s="6" t="n">
        <v>28.9</v>
      </c>
      <c r="F19" s="5" t="inlineStr">
        <is>
          <t>Hội tụ rất tốt vùng tâm phễu</t>
        </is>
      </c>
      <c r="G19" s="5" t="inlineStr">
        <is>
          <t>VERIFIED_GATE_6</t>
        </is>
      </c>
    </row>
    <row r="20">
      <c r="A20" s="6" t="n">
        <v>7.5</v>
      </c>
      <c r="B20" s="6" t="n">
        <v>9</v>
      </c>
      <c r="C20" s="6" t="n">
        <v>12.05</v>
      </c>
      <c r="D20" s="6" t="n">
        <v>3.04</v>
      </c>
      <c r="E20" s="6" t="n">
        <v>33.8</v>
      </c>
      <c r="F20" s="5" t="inlineStr">
        <is>
          <t>Hội tụ rất tốt vùng tâm phễu</t>
        </is>
      </c>
      <c r="G20" s="5" t="inlineStr">
        <is>
          <t>VERIFIED_GATE_6</t>
        </is>
      </c>
    </row>
    <row r="21">
      <c r="A21" s="6" t="n">
        <v>10</v>
      </c>
      <c r="B21" s="6" t="n">
        <v>7.46</v>
      </c>
      <c r="C21" s="6" t="n">
        <v>10.53</v>
      </c>
      <c r="D21" s="6" t="n">
        <v>3.06</v>
      </c>
      <c r="E21" s="6" t="n">
        <v>41</v>
      </c>
      <c r="F21" s="5" t="inlineStr">
        <is>
          <t>Hội tụ rất tốt vùng tâm phễu</t>
        </is>
      </c>
      <c r="G21" s="5" t="inlineStr">
        <is>
          <t>VERIFIED_GATE_6</t>
        </is>
      </c>
    </row>
    <row r="22">
      <c r="A22" s="6" t="n">
        <v>12.5</v>
      </c>
      <c r="B22" s="6" t="n">
        <v>5.87</v>
      </c>
      <c r="C22" s="6" t="n">
        <v>8.85</v>
      </c>
      <c r="D22" s="6" t="n">
        <v>2.99</v>
      </c>
      <c r="E22" s="6" t="n">
        <v>50.9</v>
      </c>
      <c r="F22" s="5" t="inlineStr">
        <is>
          <t>LP mở rộng đáy hơn Peck</t>
        </is>
      </c>
      <c r="G22" s="5" t="inlineStr">
        <is>
          <t>VERIFIED_GATE_6</t>
        </is>
      </c>
    </row>
    <row r="23">
      <c r="A23" s="6" t="n">
        <v>15</v>
      </c>
      <c r="B23" s="6" t="n">
        <v>4.37</v>
      </c>
      <c r="C23" s="6" t="n">
        <v>7.16</v>
      </c>
      <c r="D23" s="6" t="n">
        <v>2.79</v>
      </c>
      <c r="E23" s="6" t="n">
        <v>63.9</v>
      </c>
      <c r="F23" s="5" t="inlineStr">
        <is>
          <t>LP mở rộng đáy hơn Peck</t>
        </is>
      </c>
      <c r="G23" s="5" t="inlineStr">
        <is>
          <t>VERIFIED_GATE_6</t>
        </is>
      </c>
    </row>
    <row r="24">
      <c r="A24" s="6" t="n">
        <v>17.5</v>
      </c>
      <c r="B24" s="6" t="n">
        <v>3.08</v>
      </c>
      <c r="C24" s="6" t="n">
        <v>5.57</v>
      </c>
      <c r="D24" s="6" t="n">
        <v>2.49</v>
      </c>
      <c r="E24" s="6" t="n">
        <v>80.7</v>
      </c>
      <c r="F24" s="5" t="inlineStr">
        <is>
          <t>LP mở rộng đáy hơn Peck</t>
        </is>
      </c>
      <c r="G24" s="5" t="inlineStr">
        <is>
          <t>VERIFIED_GATE_6</t>
        </is>
      </c>
    </row>
    <row r="25">
      <c r="A25" s="6" t="n">
        <v>20</v>
      </c>
      <c r="B25" s="6" t="n">
        <v>2.06</v>
      </c>
      <c r="C25" s="6" t="n">
        <v>4.17</v>
      </c>
      <c r="D25" s="6" t="n">
        <v>2.11</v>
      </c>
      <c r="E25" s="6" t="n">
        <v>102.3</v>
      </c>
      <c r="F25" s="5" t="inlineStr">
        <is>
          <t>LP mở rộng đáy hơn Peck</t>
        </is>
      </c>
      <c r="G25" s="5" t="inlineStr">
        <is>
          <t>VERIFIED_GATE_6</t>
        </is>
      </c>
    </row>
    <row r="26">
      <c r="A26" s="6" t="n">
        <v>22.5</v>
      </c>
      <c r="B26" s="6" t="n">
        <v>1.31</v>
      </c>
      <c r="C26" s="6" t="n">
        <v>3.01</v>
      </c>
      <c r="D26" s="6" t="n">
        <v>1.7</v>
      </c>
      <c r="E26" s="6" t="n">
        <v>129.8</v>
      </c>
      <c r="F26" s="5" t="inlineStr">
        <is>
          <t>LP mở rộng đáy hơn Peck</t>
        </is>
      </c>
      <c r="G26" s="5" t="inlineStr">
        <is>
          <t>VERIFIED_GATE_6</t>
        </is>
      </c>
    </row>
    <row r="27">
      <c r="A27" s="6" t="n">
        <v>25</v>
      </c>
      <c r="B27" s="6" t="n">
        <v>0.79</v>
      </c>
      <c r="C27" s="6" t="n">
        <v>2.08</v>
      </c>
      <c r="D27" s="6" t="n">
        <v>1.3</v>
      </c>
      <c r="E27" s="6" t="n">
        <v>165</v>
      </c>
      <c r="F27" s="5" t="inlineStr">
        <is>
          <t>LP mở rộng đáy hơn Peck</t>
        </is>
      </c>
      <c r="G27" s="5" t="inlineStr">
        <is>
          <t>VERIFIED_GATE_6</t>
        </is>
      </c>
    </row>
    <row r="28">
      <c r="A28" s="6" t="n">
        <v>27.5</v>
      </c>
      <c r="B28" s="6" t="n">
        <v>0.45</v>
      </c>
      <c r="C28" s="6" t="n">
        <v>1.39</v>
      </c>
      <c r="D28" s="6" t="n">
        <v>0.9399999999999999</v>
      </c>
      <c r="E28" s="6" t="n">
        <v>210.3</v>
      </c>
      <c r="F28" s="5" t="inlineStr">
        <is>
          <t>Hội tụ tiệm cận 0</t>
        </is>
      </c>
      <c r="G28" s="5" t="inlineStr">
        <is>
          <t>VERIFIED_GATE_6</t>
        </is>
      </c>
    </row>
    <row r="29">
      <c r="A29" s="6" t="n">
        <v>30</v>
      </c>
      <c r="B29" s="6" t="n">
        <v>0.24</v>
      </c>
      <c r="C29" s="6" t="n">
        <v>0.89</v>
      </c>
      <c r="D29" s="6" t="n">
        <v>0.65</v>
      </c>
      <c r="E29" s="6" t="n">
        <v>268.8</v>
      </c>
      <c r="F29" s="5" t="inlineStr">
        <is>
          <t>Hội tụ tiệm cận 0</t>
        </is>
      </c>
      <c r="G29" s="5" t="inlineStr">
        <is>
          <t>VERIFIED_GATE_6</t>
        </is>
      </c>
    </row>
    <row r="30">
      <c r="A30" s="6" t="n">
        <v>32.5</v>
      </c>
      <c r="B30" s="6" t="n">
        <v>0.12</v>
      </c>
      <c r="C30" s="6" t="n">
        <v>0.55</v>
      </c>
      <c r="D30" s="6" t="n">
        <v>0.43</v>
      </c>
      <c r="E30" s="6" t="n">
        <v>345</v>
      </c>
      <c r="F30" s="5" t="inlineStr">
        <is>
          <t>Hội tụ tiệm cận 0</t>
        </is>
      </c>
      <c r="G30" s="5" t="inlineStr">
        <is>
          <t>VERIFIED_GATE_6</t>
        </is>
      </c>
    </row>
    <row r="31">
      <c r="A31" s="6" t="n">
        <v>35</v>
      </c>
      <c r="B31" s="6" t="n">
        <v>0.06</v>
      </c>
      <c r="C31" s="6" t="n">
        <v>0.33</v>
      </c>
      <c r="D31" s="6" t="n">
        <v>0.27</v>
      </c>
      <c r="E31" s="6" t="n">
        <v>445.1</v>
      </c>
      <c r="F31" s="5" t="inlineStr">
        <is>
          <t>Hội tụ tiệm cận 0</t>
        </is>
      </c>
      <c r="G31" s="5" t="inlineStr">
        <is>
          <t>VERIFIED_GATE_6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2026-10-15T04:52:25Z</dcterms:created>
  <dcterms:modified xmlns:dcterms="http://purl.org/dc/terms/" xmlns:xsi="http://www.w3.org/2001/XMLSchema-instance" xsi:type="dcterms:W3CDTF">2026-10-15T04:52:25Z</dcterms:modified>
</cp:coreProperties>
</file>