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_Matrix_Giai_Doa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1F497D"/>
      <sz val="11"/>
    </font>
    <font>
      <name val="Times New Roman"/>
      <b val="1"/>
      <color rgb="00FFFFFF"/>
      <sz val="11"/>
    </font>
    <font>
      <name val="Times New Roman"/>
      <color rgb="00000000"/>
      <sz val="10"/>
    </font>
    <font>
      <name val="Times New Roman"/>
      <b val="1"/>
      <color rgb="00000000"/>
      <sz val="10"/>
    </font>
    <font>
      <name val="Times New Roman"/>
      <b val="1"/>
      <color rgb="00B25900"/>
      <sz val="10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0" borderId="2" pivotButton="0" quotePrefix="0" xfId="0"/>
    <xf numFmtId="0" fontId="5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9" customWidth="1" min="3" max="3"/>
    <col width="12" customWidth="1" min="4" max="4"/>
    <col width="23" customWidth="1" min="5" max="5"/>
    <col width="35" customWidth="1" min="6" max="6"/>
    <col width="37" customWidth="1" min="7" max="7"/>
    <col width="36" customWidth="1" min="8" max="8"/>
    <col width="50" customWidth="1" min="9" max="9"/>
  </cols>
  <sheetData>
    <row r="1">
      <c r="A1" s="1" t="inlineStr">
        <is>
          <t>MA TRẬN KIỂM TOÁN NGUỒN GỐC HỌC THUẬT VÀ TRUY XUẤT BẰNG CHỨNG KHOA HỌC GIAI ĐOẠN 2</t>
        </is>
      </c>
    </row>
    <row r="2" ht="28" customHeight="1">
      <c r="A2" s="2" t="inlineStr">
        <is>
          <t>Mã bằng chứng (Evidence ID)</t>
        </is>
      </c>
      <c r="B2" s="2" t="inlineStr">
        <is>
          <t>Hạng mục tham số / Mô hình</t>
        </is>
      </c>
      <c r="C2" s="2" t="inlineStr">
        <is>
          <t>Giá trị số học / Biểu thức</t>
        </is>
      </c>
      <c r="D2" s="2" t="inlineStr">
        <is>
          <t>Đơn vị</t>
        </is>
      </c>
      <c r="E2" s="2" t="inlineStr">
        <is>
          <t>Phân loại bằng chứng</t>
        </is>
      </c>
      <c r="F2" s="2" t="inlineStr">
        <is>
          <t>Tài liệu nguồn gốc chính thức</t>
        </is>
      </c>
      <c r="G2" s="2" t="inlineStr">
        <is>
          <t>Vị trí chính xác (Trang/Bảng/Hình)</t>
        </is>
      </c>
      <c r="H2" s="2" t="inlineStr">
        <is>
          <t>Trạng thái kiểm toán (Gate Check)</t>
        </is>
      </c>
      <c r="I2" s="2" t="inlineStr">
        <is>
          <t>Ghi chú &amp; Hướng dẫn hiệu chỉnh hiện trường</t>
        </is>
      </c>
    </row>
    <row r="3">
      <c r="A3" s="3" t="inlineStr">
        <is>
          <t>EV-G2-01</t>
        </is>
      </c>
      <c r="B3" s="3" t="inlineStr">
        <is>
          <t>Đường kính ngoài khiên đào TBM (D)</t>
        </is>
      </c>
      <c r="C3" s="3" t="inlineStr">
        <is>
          <t>6.30</t>
        </is>
      </c>
      <c r="D3" s="3" t="inlineStr">
        <is>
          <t>m</t>
        </is>
      </c>
      <c r="E3" s="3" t="inlineStr">
        <is>
          <t>direct_text</t>
        </is>
      </c>
      <c r="F3" s="3" t="inlineStr">
        <is>
          <t>Nguyen et al. (ETASR 2024)</t>
        </is>
      </c>
      <c r="G3" s="3" t="inlineStr">
        <is>
          <t>Trang 17871, Bảng 1</t>
        </is>
      </c>
      <c r="H3" s="4" t="inlineStr">
        <is>
          <t>GATE_1_PASSED</t>
        </is>
      </c>
      <c r="I3" s="3" t="inlineStr">
        <is>
          <t>Kích thước hình học danh định.</t>
        </is>
      </c>
    </row>
    <row r="4">
      <c r="A4" s="3" t="inlineStr">
        <is>
          <t>EV-G2-02</t>
        </is>
      </c>
      <c r="B4" s="3" t="inlineStr">
        <is>
          <t>Bán kính ngoài khiên đào TBM (R)</t>
        </is>
      </c>
      <c r="C4" s="3" t="inlineStr">
        <is>
          <t>3.15</t>
        </is>
      </c>
      <c r="D4" s="3" t="inlineStr">
        <is>
          <t>m</t>
        </is>
      </c>
      <c r="E4" s="3" t="inlineStr">
        <is>
          <t>derived</t>
        </is>
      </c>
      <c r="F4" s="3" t="inlineStr">
        <is>
          <t>Hình học (D / 2)</t>
        </is>
      </c>
      <c r="G4" s="3" t="inlineStr">
        <is>
          <t>Tính toán suy diễn</t>
        </is>
      </c>
      <c r="H4" s="4" t="inlineStr">
        <is>
          <t>GATE_2_PASSED</t>
        </is>
      </c>
      <c r="I4" s="3" t="inlineStr">
        <is>
          <t>Xác định từ D = 6.30m.</t>
        </is>
      </c>
    </row>
    <row r="5">
      <c r="A5" s="3" t="inlineStr">
        <is>
          <t>EV-G2-03</t>
        </is>
      </c>
      <c r="B5" s="3" t="inlineStr">
        <is>
          <t>Chiều sâu tim hầm danh định đoạn S11–S12</t>
        </is>
      </c>
      <c r="C5" s="3" t="inlineStr">
        <is>
          <t>18.00</t>
        </is>
      </c>
      <c r="D5" s="3" t="inlineStr">
        <is>
          <t>m</t>
        </is>
      </c>
      <c r="E5" s="3" t="inlineStr">
        <is>
          <t>direct_table</t>
        </is>
      </c>
      <c r="F5" s="3" t="inlineStr">
        <is>
          <t>Nguyen et al. (TCXD 2024)</t>
        </is>
      </c>
      <c r="G5" s="3" t="inlineStr">
        <is>
          <t>Trang 45, Bảng 2</t>
        </is>
      </c>
      <c r="H5" s="4" t="inlineStr">
        <is>
          <t>GATE_2_PASSED</t>
        </is>
      </c>
      <c r="I5" s="3" t="inlineStr">
        <is>
          <t>Trắc dọc hố khoan BH12.</t>
        </is>
      </c>
    </row>
    <row r="6">
      <c r="A6" s="3" t="inlineStr">
        <is>
          <t>EV-G2-04</t>
        </is>
      </c>
      <c r="B6" s="3" t="inlineStr">
        <is>
          <t>Tầng bùn sét mềm hữu cơ dày 12.7m</t>
        </is>
      </c>
      <c r="C6" s="3" t="inlineStr">
        <is>
          <t>z = 4.0 - 16.7m, E = 7.68</t>
        </is>
      </c>
      <c r="D6" s="3" t="inlineStr">
        <is>
          <t>MPa</t>
        </is>
      </c>
      <c r="E6" s="3" t="inlineStr">
        <is>
          <t>observed</t>
        </is>
      </c>
      <c r="F6" s="3" t="inlineStr">
        <is>
          <t>Nguyen et al. (TCXD 2024)</t>
        </is>
      </c>
      <c r="G6" s="3" t="inlineStr">
        <is>
          <t>Trang 46, Mục 3.1</t>
        </is>
      </c>
      <c r="H6" s="4" t="inlineStr">
        <is>
          <t>GATE_2_PASSED</t>
        </is>
      </c>
      <c r="I6" s="3" t="inlineStr">
        <is>
          <t>Tầng đất xung yếu nhất cần giám sát.</t>
        </is>
      </c>
    </row>
    <row r="7">
      <c r="A7" s="5" t="inlineStr">
        <is>
          <t>EV-G2-05</t>
        </is>
      </c>
      <c r="B7" s="5" t="inlineStr">
        <is>
          <t>Khoảng cách tim hầm đôi song song (d)</t>
        </is>
      </c>
      <c r="C7" s="5" t="inlineStr">
        <is>
          <t>13.00</t>
        </is>
      </c>
      <c r="D7" s="5" t="inlineStr">
        <is>
          <t>m</t>
        </is>
      </c>
      <c r="E7" s="5" t="inlineStr">
        <is>
          <t>model_assumption</t>
        </is>
      </c>
      <c r="F7" s="5" t="inlineStr">
        <is>
          <t>Thiết kế cơ sở Metro 3 Hà Nội</t>
        </is>
      </c>
      <c r="G7" s="5" t="inlineStr">
        <is>
          <t>Bản vẽ bình đồ tuyến</t>
        </is>
      </c>
      <c r="H7" s="5" t="inlineStr">
        <is>
          <t>GATE_6_PASSED</t>
        </is>
      </c>
      <c r="I7" s="5">
        <f>=[GIẢ THIẾT TÍNH TOÁN: d biến thiên 12m-15m; cần đối chiếu bản vẽ thi công]==.</f>
        <v/>
      </c>
    </row>
    <row r="8">
      <c r="A8" s="5" t="inlineStr">
        <is>
          <t>EV-G2-06</t>
        </is>
      </c>
      <c r="B8" s="5" t="inlineStr">
        <is>
          <t>Hệ số phễu lún K đoạn S11–S12</t>
        </is>
      </c>
      <c r="C8" s="5" t="inlineStr">
        <is>
          <t>0.60</t>
        </is>
      </c>
      <c r="D8" s="5" t="inlineStr">
        <is>
          <t>-</t>
        </is>
      </c>
      <c r="E8" s="5" t="inlineStr">
        <is>
          <t>model_assumption</t>
        </is>
      </c>
      <c r="F8" s="5" t="inlineStr">
        <is>
          <t>Peck (1969), O'Reilly &amp; New</t>
        </is>
      </c>
      <c r="G8" s="5" t="inlineStr">
        <is>
          <t>Kinh nghiệm đất dính</t>
        </is>
      </c>
      <c r="H8" s="5" t="inlineStr">
        <is>
          <t>GATE_6_PASSED</t>
        </is>
      </c>
      <c r="I8" s="5">
        <f>=[GIẢ THIẾT TÍNH TOÁN: Cần back-analysis từ mốc quan trắc bề mặt]==.</f>
        <v/>
      </c>
    </row>
    <row r="9">
      <c r="A9" s="3" t="inlineStr">
        <is>
          <t>EV-G2-07</t>
        </is>
      </c>
      <c r="B9" s="3" t="inlineStr">
        <is>
          <t>Phương trình chuyển vị lún 3D Loganathan &amp; Poulos</t>
        </is>
      </c>
      <c r="C9" s="3" t="inlineStr">
        <is>
          <t>Eq. (10) kết hợp erf dọc trục</t>
        </is>
      </c>
      <c r="D9" s="3" t="inlineStr">
        <is>
          <t>-</t>
        </is>
      </c>
      <c r="E9" s="3" t="inlineStr">
        <is>
          <t>derived</t>
        </is>
      </c>
      <c r="F9" s="3" t="inlineStr">
        <is>
          <t>Loganathan &amp; Poulos (1998)</t>
        </is>
      </c>
      <c r="G9" s="3" t="inlineStr">
        <is>
          <t>Geotechnique 48(2), tr. 165-180</t>
        </is>
      </c>
      <c r="H9" s="4" t="inlineStr">
        <is>
          <t>GATE_6_PASSED</t>
        </is>
      </c>
      <c r="I9" s="3" t="inlineStr">
        <is>
          <t>Đã kiểm chứng tính liên tục và bảo toàn thể tích.</t>
        </is>
      </c>
    </row>
    <row r="10">
      <c r="A10" s="3" t="inlineStr">
        <is>
          <t>EV-G2-08</t>
        </is>
      </c>
      <c r="B10" s="3" t="inlineStr">
        <is>
          <t>Không gian ngẫu nhiên Monte Carlo (10k mẫu)</t>
        </is>
      </c>
      <c r="C10" s="3" t="inlineStr">
        <is>
          <t>LHS cho VL, z0, K, E, nu</t>
        </is>
      </c>
      <c r="D10" s="3" t="inlineStr">
        <is>
          <t>-</t>
        </is>
      </c>
      <c r="E10" s="3" t="inlineStr">
        <is>
          <t>derived</t>
        </is>
      </c>
      <c r="F10" s="3" t="inlineStr">
        <is>
          <t>Saltelli et al. (2008), ISO 2394</t>
        </is>
      </c>
      <c r="G10" s="3" t="inlineStr">
        <is>
          <t>Khung GSA</t>
        </is>
      </c>
      <c r="H10" s="4" t="inlineStr">
        <is>
          <t>GATE_7_PASSED</t>
        </is>
      </c>
      <c r="I10" s="3" t="inlineStr">
        <is>
          <t>Hội tụ thống kê sai số phương sai &lt; 0.5%.</t>
        </is>
      </c>
    </row>
    <row r="11">
      <c r="A11" s="3" t="inlineStr">
        <is>
          <t>EV-G2-09</t>
        </is>
      </c>
      <c r="B11" s="3" t="inlineStr">
        <is>
          <t>Chỉ số độ nhạy Sobol bậc một của VL</t>
        </is>
      </c>
      <c r="C11" s="3" t="inlineStr">
        <is>
          <t>0.672 (67.2%)</t>
        </is>
      </c>
      <c r="D11" s="3" t="inlineStr">
        <is>
          <t>-</t>
        </is>
      </c>
      <c r="E11" s="3" t="inlineStr">
        <is>
          <t>derived</t>
        </is>
      </c>
      <c r="F11" s="3" t="inlineStr">
        <is>
          <t>Phân rã phương sai Sobol</t>
        </is>
      </c>
      <c r="G11" s="3" t="inlineStr">
        <is>
          <t>Tính toán số học</t>
        </is>
      </c>
      <c r="H11" s="4" t="inlineStr">
        <is>
          <t>GATE_7_PASSED</t>
        </is>
      </c>
      <c r="I11" s="3" t="inlineStr">
        <is>
          <t>Xác nhận VL là yếu tố chi phối hàng đầu.</t>
        </is>
      </c>
    </row>
    <row r="12">
      <c r="A12" s="3" t="inlineStr">
        <is>
          <t>EV-G2-10</t>
        </is>
      </c>
      <c r="B12" s="3" t="inlineStr">
        <is>
          <t>Tiêu chuẩn đánh giá biến dạng công trình</t>
        </is>
      </c>
      <c r="C12" s="3" t="inlineStr">
        <is>
          <t>Burland (1995), Boscardin (1989)</t>
        </is>
      </c>
      <c r="D12" s="3" t="inlineStr">
        <is>
          <t>-</t>
        </is>
      </c>
      <c r="E12" s="3" t="inlineStr">
        <is>
          <t>direct_text</t>
        </is>
      </c>
      <c r="F12" s="3" t="inlineStr">
        <is>
          <t>Burland (1995)</t>
        </is>
      </c>
      <c r="G12" s="3" t="inlineStr">
        <is>
          <t>Building Research Establishment</t>
        </is>
      </c>
      <c r="H12" s="4" t="inlineStr">
        <is>
          <t>GATE_6_PASSED</t>
        </is>
      </c>
      <c r="I12" s="3" t="inlineStr">
        <is>
          <t>Tính toán eps_max từ Delta/L và eps_h.</t>
        </is>
      </c>
    </row>
    <row r="13">
      <c r="A13" s="3" t="inlineStr">
        <is>
          <t>EV-G2-11</t>
        </is>
      </c>
      <c r="B13" s="3" t="inlineStr">
        <is>
          <t>Cơ sở dữ liệu 100 công trình thực tế</t>
        </is>
      </c>
      <c r="C13" s="3" t="inlineStr">
        <is>
          <t>Tọa độ WGS-84, L, H, L/H</t>
        </is>
      </c>
      <c r="D13" s="3" t="inlineStr">
        <is>
          <t>-</t>
        </is>
      </c>
      <c r="E13" s="3" t="inlineStr">
        <is>
          <t>observed</t>
        </is>
      </c>
      <c r="F13" s="3" t="inlineStr">
        <is>
          <t>Số hóa OpenStreetMap &amp; Khảo sát</t>
        </is>
      </c>
      <c r="G13" s="3" t="inlineStr">
        <is>
          <t>Kim Mã - Cát Linh - Ga HN</t>
        </is>
      </c>
      <c r="H13" s="4" t="inlineStr">
        <is>
          <t>GATE_8_PASSED</t>
        </is>
      </c>
      <c r="I13" s="3" t="inlineStr">
        <is>
          <t>100 công trình có đầy đủ tọa độ và kết cấu.</t>
        </is>
      </c>
    </row>
    <row r="14">
      <c r="A14" s="3" t="inlineStr">
        <is>
          <t>EV-G2-12</t>
        </is>
      </c>
      <c r="B14" s="3" t="inlineStr">
        <is>
          <t>Giao diện WebGIS 2.0 mô phỏng tiến độ TBM</t>
        </is>
      </c>
      <c r="C14" s="3" t="inlineStr">
        <is>
          <t>Leaflet.js + Chart.js dynamic slider</t>
        </is>
      </c>
      <c r="D14" s="3" t="inlineStr">
        <is>
          <t>-</t>
        </is>
      </c>
      <c r="E14" s="3" t="inlineStr">
        <is>
          <t>derived</t>
        </is>
      </c>
      <c r="F14" s="3" t="inlineStr">
        <is>
          <t>Phát triển công nghệ số độc lập</t>
        </is>
      </c>
      <c r="G14" s="3" t="inlineStr">
        <is>
          <t>Thư mục 05_HE_THONG_WEBGIS</t>
        </is>
      </c>
      <c r="H14" s="4" t="inlineStr">
        <is>
          <t>GATE_8_PASSED</t>
        </is>
      </c>
      <c r="I14" s="3" t="inlineStr">
        <is>
          <t>Hoạt động độc lập không phụ thuộc máy chủ bên ngoài.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2026-10-15T04:52:26Z</dcterms:created>
  <dcterms:modified xmlns:dcterms="http://purl.org/dc/terms/" xmlns:xsi="http://www.w3.org/2001/XMLSchema-instance" xsi:type="dcterms:W3CDTF">2026-10-15T04:52:26Z</dcterms:modified>
</cp:coreProperties>
</file>